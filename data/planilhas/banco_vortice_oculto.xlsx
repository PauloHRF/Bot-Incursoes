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Banco" sheetId="2" state="visible" r:id="rId2"/>
    <sheet name="Salas" sheetId="3" state="visible" r:id="rId3"/>
    <sheet name="Monstros" sheetId="4" state="visible" r:id="rId4"/>
    <sheet name="Dificuldades" sheetId="5" state="visible" r:id="rId5"/>
    <sheet name="Peric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80808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2" fillId="0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Incursoes 2.0</author>
  </authors>
  <commentList>
    <comment ref="A1" authorId="0" shapeId="0">
      <text>
        <t>Identificador único da sala dentro deste banco.</t>
      </text>
    </comment>
    <comment ref="B1" authorId="0" shapeId="0">
      <text>
        <t>Nome da sala mostrado no embed.</t>
      </text>
    </comment>
    <comment ref="C1" authorId="0" shapeId="0">
      <text>
        <t>Combate, Descanso, Armadilha, Evento ou Tesouro.</t>
      </text>
    </comment>
    <comment ref="D1" authorId="0" shapeId="0">
      <text>
        <t>Fácil, Média ou Difícil. Vazio em Descanso e Combate.</t>
      </text>
    </comment>
    <comment ref="E1" authorId="0" shapeId="0">
      <text>
        <t>CALCULADO a partir da dificuldade (aba Dificuldades).</t>
      </text>
    </comment>
    <comment ref="F1" authorId="0" shapeId="0">
      <text>
        <t>CALCULADO: soma de margens que o grupo precisa atingir.</t>
      </text>
    </comment>
    <comment ref="G1" authorId="0" shapeId="0">
      <text>
        <t>Perícias aceitas, separadas por ';'. Vazio em Descanso e Combate.</t>
      </text>
    </comment>
    <comment ref="H1" authorId="0" shapeId="0">
      <text>
        <t>Texto do embed da sala.</t>
      </text>
    </comment>
    <comment ref="I1" authorId="0" shapeId="0">
      <text>
        <t>Caminho em assets/ ou URL da imagem da sala.</t>
      </text>
    </comment>
    <comment ref="J1" authorId="0" shapeId="0">
      <text>
        <t>Só em salas de Combate.</t>
      </text>
    </comment>
    <comment ref="K1" authorId="0" shapeId="0">
      <text>
        <t>Quantas criaturas iguais. Vazio ou 1 = uma. Máximo 6 por sala, contando as da aba 'Monstros'.</t>
      </text>
    </comment>
    <comment ref="L1" authorId="0" shapeId="0">
      <text>
        <t>Classe de Armadura do monstro.</t>
      </text>
    </comment>
    <comment ref="M1" authorId="0" shapeId="0">
      <text>
        <t>Bônus de ataque do monstro (ex.: 6).</t>
      </text>
    </comment>
    <comment ref="N1" authorId="0" shapeId="0">
      <text>
        <t>Dado de dano do monstro (ex.: 2d6+3).</t>
      </text>
    </comment>
    <comment ref="O1" authorId="0" shapeId="0">
      <text>
        <t>Pontos de vida do monstro.</t>
      </text>
    </comment>
    <comment ref="P1" authorId="0" shapeId="0">
      <text>
        <t>Bônus da sala (texto livre). Opcional.</t>
      </text>
    </comment>
    <comment ref="Q1" authorId="0" shapeId="0">
      <text>
        <t>Pontos de Organizacao se a sala for superada. 0 ou vazio = nenhum.</t>
      </text>
    </comment>
  </commentList>
</comments>
</file>

<file path=xl/comments/comment2.xml><?xml version="1.0" encoding="utf-8"?>
<comments xmlns="http://schemas.openxmlformats.org/spreadsheetml/2006/main">
  <authors>
    <author>Incursoes 2.0</author>
  </authors>
  <commentList>
    <comment ref="A1" authorId="0" shapeId="0">
      <text>
        <t>Criaturas EXTRAS de uma sala, para um bando misto. O que estiver aqui se soma ao monstro_* da linha da sala, ate 6 criaturas por sala. Deixe a aba vazia se cada sala tiver so um tipo de criatura.</t>
      </text>
    </comment>
    <comment ref="B1" authorId="0" shapeId="0">
      <text>
        <t>Nome da criatura.</t>
      </text>
    </comment>
    <comment ref="C1" authorId="0" shapeId="0">
      <text>
        <t>Quantas iguais. Vazio ou 1 = uma.</t>
      </text>
    </comment>
    <comment ref="D1" authorId="0" shapeId="0">
      <text>
        <t>Classe de Armadura.</t>
      </text>
    </comment>
    <comment ref="E1" authorId="0" shapeId="0">
      <text>
        <t>Bonus de ataque (ex.: 4).</t>
      </text>
    </comment>
    <comment ref="F1" authorId="0" shapeId="0">
      <text>
        <t>Dado de dano (ex.: 1d6+2).</t>
      </text>
    </comment>
    <comment ref="G1" authorId="0" shapeId="0">
      <text>
        <t>Pontos de vida de cada uma.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Banco de salas — Vórtice Oculto</t>
        </is>
      </c>
    </row>
    <row r="2">
      <c r="A2" s="2" t="inlineStr"/>
    </row>
    <row r="3">
      <c r="A3" s="1" t="inlineStr">
        <is>
          <t>Para que serve</t>
        </is>
      </c>
    </row>
    <row r="4">
      <c r="A4" s="2" t="inlineStr">
        <is>
          <t>As salas do meio da dungeon nao sao escritas na incursao: sao sorteadas daqui.</t>
        </is>
      </c>
    </row>
    <row r="5">
      <c r="A5" s="2" t="inlineStr">
        <is>
          <t>A cada passo o bot tira 3 salas deste banco e o grupo vota numa.</t>
        </is>
      </c>
    </row>
    <row r="6">
      <c r="A6" s="2" t="inlineStr">
        <is>
          <t>Cada Organizacao tem o seu banco, entao o tema das salas acompanha quem manda.</t>
        </is>
      </c>
    </row>
    <row r="7">
      <c r="A7" s="2" t="inlineStr"/>
    </row>
    <row r="8">
      <c r="A8" s="1" t="inlineStr">
        <is>
          <t>Quantas salas escrever</t>
        </is>
      </c>
    </row>
    <row r="9">
      <c r="A9" s="2" t="inlineStr">
        <is>
          <t>O minimo e 3 (um passo). Uma dungeon longa tem 7 passos, entao</t>
        </is>
      </c>
    </row>
    <row r="10">
      <c r="A10" s="2" t="inlineStr">
        <is>
          <t>21 salas cobrem uma run inteira sem repetir nenhuma. Com menos que isso o bot</t>
        </is>
      </c>
    </row>
    <row r="11">
      <c r="A11" s="2" t="inlineStr">
        <is>
          <t>reembaralha e pode repetir uma sala em passos diferentes — nunca no mesmo passo.</t>
        </is>
      </c>
    </row>
    <row r="12">
      <c r="A12" s="2" t="inlineStr"/>
    </row>
    <row r="13">
      <c r="A13" s="1" t="inlineStr">
        <is>
          <t>Como usar</t>
        </is>
      </c>
    </row>
    <row r="14">
      <c r="A14" s="2" t="inlineStr">
        <is>
          <t>1. Preencha a aba 'Salas'. Uma linha por sala, sala_id unico.</t>
        </is>
      </c>
    </row>
    <row r="15">
      <c r="A15" s="2" t="inlineStr">
        <is>
          <t>2. Converta:  python tools/importar_banco.py &lt;esta planilha&gt;</t>
        </is>
      </c>
    </row>
    <row r="16">
      <c r="A16" s="2" t="inlineStr">
        <is>
          <t>3. No Discord, /incursao recarregar para o bot reler sem reiniciar.</t>
        </is>
      </c>
    </row>
    <row r="17">
      <c r="A17" s="2" t="inlineStr"/>
    </row>
    <row r="18">
      <c r="A18" s="1" t="inlineStr">
        <is>
          <t>Legenda de cores</t>
        </is>
      </c>
    </row>
    <row r="19">
      <c r="A19" s="2" t="inlineStr">
        <is>
          <t>Fundo branco = voce preenche. Fundo cinza = formula, nao edite.</t>
        </is>
      </c>
    </row>
    <row r="20">
      <c r="A20" s="2" t="inlineStr"/>
    </row>
    <row r="21">
      <c r="A21" s="1" t="inlineStr">
        <is>
          <t>Tipos de sala</t>
        </is>
      </c>
    </row>
    <row r="22">
      <c r="A22" s="2" t="inlineStr">
        <is>
          <t>Combate usa CA/ataque/HP e nao leva dificuldade nem pericia.</t>
        </is>
      </c>
    </row>
    <row r="23">
      <c r="A23" s="2" t="inlineStr">
        <is>
          <t>Descanso nao tem teste: cura o grupo.</t>
        </is>
      </c>
    </row>
    <row r="24">
      <c r="A24" s="2" t="inlineStr">
        <is>
          <t>Armadilha, Evento e Tesouro sao resolvidos por teste de pericia.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organizacao</t>
        </is>
      </c>
      <c r="B1" s="2" t="inlineStr">
        <is>
          <t>Vórtice Oculto</t>
        </is>
      </c>
    </row>
    <row r="2">
      <c r="A2" s="3" t="inlineStr">
        <is>
          <t>A qual Organizacao este banco pertence. Nao apague esta aba.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3" customWidth="1" min="4" max="4"/>
    <col width="7" customWidth="1" min="5" max="5"/>
    <col width="15" customWidth="1" min="6" max="6"/>
    <col width="30" customWidth="1" min="7" max="7"/>
    <col width="62" customWidth="1" min="8" max="8"/>
    <col width="26" customWidth="1" min="9" max="9"/>
    <col width="22" customWidth="1" min="10" max="10"/>
    <col width="12" customWidth="1" min="11" max="11"/>
    <col width="11" customWidth="1" min="12" max="12"/>
    <col width="15" customWidth="1" min="13" max="13"/>
    <col width="14" customWidth="1" min="14" max="14"/>
    <col width="11" customWidth="1" min="15" max="15"/>
    <col width="32" customWidth="1" min="16" max="16"/>
    <col width="18" customWidth="1" min="17" max="17"/>
  </cols>
  <sheetData>
    <row r="1" ht="28" customHeight="1">
      <c r="A1" s="4" t="inlineStr">
        <is>
          <t>sala_id</t>
        </is>
      </c>
      <c r="B1" s="4" t="inlineStr">
        <is>
          <t>nome</t>
        </is>
      </c>
      <c r="C1" s="4" t="inlineStr">
        <is>
          <t>tipo</t>
        </is>
      </c>
      <c r="D1" s="4" t="inlineStr">
        <is>
          <t>dificuldade</t>
        </is>
      </c>
      <c r="E1" s="4" t="inlineStr">
        <is>
          <t>cd</t>
        </is>
      </c>
      <c r="F1" s="4" t="inlineStr">
        <is>
          <t>alvo_progresso</t>
        </is>
      </c>
      <c r="G1" s="4" t="inlineStr">
        <is>
          <t>pericias</t>
        </is>
      </c>
      <c r="H1" s="4" t="inlineStr">
        <is>
          <t>descricao</t>
        </is>
      </c>
      <c r="I1" s="4" t="inlineStr">
        <is>
          <t>imagem</t>
        </is>
      </c>
      <c r="J1" s="4" t="inlineStr">
        <is>
          <t>monstro_nome</t>
        </is>
      </c>
      <c r="K1" s="4" t="inlineStr">
        <is>
          <t>monstro_quantidade</t>
        </is>
      </c>
      <c r="L1" s="4" t="inlineStr">
        <is>
          <t>monstro_ca</t>
        </is>
      </c>
      <c r="M1" s="4" t="inlineStr">
        <is>
          <t>monstro_ataque</t>
        </is>
      </c>
      <c r="N1" s="4" t="inlineStr">
        <is>
          <t>monstro_dano</t>
        </is>
      </c>
      <c r="O1" s="4" t="inlineStr">
        <is>
          <t>monstro_hp</t>
        </is>
      </c>
      <c r="P1" s="4" t="inlineStr">
        <is>
          <t>recompensa</t>
        </is>
      </c>
      <c r="Q1" s="4" t="inlineStr">
        <is>
          <t>pontos_organizacao</t>
        </is>
      </c>
    </row>
    <row r="2" ht="58" customHeight="1">
      <c r="A2" s="5" t="inlineStr">
        <is>
          <t>VO01</t>
        </is>
      </c>
      <c r="B2" s="5" t="inlineStr">
        <is>
          <t>Portal Instável</t>
        </is>
      </c>
      <c r="C2" s="5" t="inlineStr">
        <is>
          <t>Armadilha</t>
        </is>
      </c>
      <c r="D2" s="5" t="inlineStr">
        <is>
          <t>Média</t>
        </is>
      </c>
      <c r="E2" s="6">
        <f>IF($D2="","",INDEX(Dificuldades!$B$2:$B$4,MATCH($D2,Dificuldades!$A$2:$A$4,0)))</f>
        <v/>
      </c>
      <c r="F2" s="6">
        <f>IF($D2="","",INDEX(Dificuldades!$C$2:$C$4,MATCH($D2,Dificuldades!$A$2:$A$4,0)))</f>
        <v/>
      </c>
      <c r="G2" s="5" t="inlineStr">
        <is>
          <t>Acrobacia; Arcanismo</t>
        </is>
      </c>
      <c r="H2" s="5" t="inlineStr">
        <is>
          <t>Um arco de pedra pulsa e, a cada batida, cospe estilhaços de realidade pelo corredor. Passar exige ler o ritmo — ou ser muito rápido.</t>
        </is>
      </c>
      <c r="I2" s="5" t="inlineStr"/>
      <c r="J2" s="5" t="inlineStr"/>
      <c r="K2" s="5" t="n"/>
      <c r="L2" s="5" t="inlineStr"/>
      <c r="M2" s="5" t="inlineStr"/>
      <c r="N2" s="5" t="inlineStr"/>
      <c r="O2" s="5" t="inlineStr"/>
      <c r="P2" s="5" t="inlineStr">
        <is>
          <t>Um fragmento de selo para quem passa ileso.</t>
        </is>
      </c>
      <c r="Q2" s="5" t="n">
        <v>1</v>
      </c>
    </row>
    <row r="3" ht="58" customHeight="1">
      <c r="A3" s="5" t="inlineStr">
        <is>
          <t>VO02</t>
        </is>
      </c>
      <c r="B3" s="5" t="inlineStr">
        <is>
          <t>Biblioteca Submersa</t>
        </is>
      </c>
      <c r="C3" s="5" t="inlineStr">
        <is>
          <t>Evento</t>
        </is>
      </c>
      <c r="D3" s="5" t="inlineStr">
        <is>
          <t>Média</t>
        </is>
      </c>
      <c r="E3" s="6">
        <f>IF($D3="","",INDEX(Dificuldades!$B$2:$B$4,MATCH($D3,Dificuldades!$A$2:$A$4,0)))</f>
        <v/>
      </c>
      <c r="F3" s="6">
        <f>IF($D3="","",INDEX(Dificuldades!$C$2:$C$4,MATCH($D3,Dificuldades!$A$2:$A$4,0)))</f>
        <v/>
      </c>
      <c r="G3" s="5" t="inlineStr">
        <is>
          <t>Investigação; Arcanismo; História</t>
        </is>
      </c>
      <c r="H3" s="5" t="inlineStr">
        <is>
          <t>Água escura cobre as prateleiras até a altura do peito. Os livros que boiam ainda estão secos, e isso é o mais perturbador da sala.</t>
        </is>
      </c>
      <c r="I3" s="5" t="inlineStr"/>
      <c r="J3" s="5" t="inlineStr"/>
      <c r="K3" s="5" t="n"/>
      <c r="L3" s="5" t="inlineStr"/>
      <c r="M3" s="5" t="inlineStr"/>
      <c r="N3" s="5" t="inlineStr"/>
      <c r="O3" s="5" t="inlineStr"/>
      <c r="P3" s="5" t="inlineStr">
        <is>
          <t>Revela a CA do próximo inimigo.</t>
        </is>
      </c>
      <c r="Q3" s="5" t="n">
        <v>2</v>
      </c>
    </row>
    <row r="4" ht="58" customHeight="1">
      <c r="A4" s="5" t="inlineStr">
        <is>
          <t>VO03</t>
        </is>
      </c>
      <c r="B4" s="5" t="inlineStr">
        <is>
          <t>Sentinelas de Pedra</t>
        </is>
      </c>
      <c r="C4" s="5" t="inlineStr">
        <is>
          <t>Combate</t>
        </is>
      </c>
      <c r="D4" s="5" t="inlineStr"/>
      <c r="E4" s="6">
        <f>IF($D4="","",INDEX(Dificuldades!$B$2:$B$4,MATCH($D4,Dificuldades!$A$2:$A$4,0)))</f>
        <v/>
      </c>
      <c r="F4" s="6">
        <f>IF($D4="","",INDEX(Dificuldades!$C$2:$C$4,MATCH($D4,Dificuldades!$A$2:$A$4,0)))</f>
        <v/>
      </c>
      <c r="G4" s="5" t="inlineStr"/>
      <c r="H4" s="5" t="inlineStr">
        <is>
          <t>Duas estátuas ladeiam a porta interna. Elas não se mexem enquanto ninguém olha para o que carregam — e o que carregam é o que o grupo veio buscar.</t>
        </is>
      </c>
      <c r="I4" s="5" t="inlineStr"/>
      <c r="J4" s="5" t="inlineStr">
        <is>
          <t>Sentinela de Basalto</t>
        </is>
      </c>
      <c r="K4" s="5" t="n">
        <v>2</v>
      </c>
      <c r="L4" s="5" t="n">
        <v>14</v>
      </c>
      <c r="M4" s="5" t="n">
        <v>5</v>
      </c>
      <c r="N4" s="5" t="inlineStr">
        <is>
          <t>1d10+3</t>
        </is>
      </c>
      <c r="O4" s="5" t="n">
        <v>26</v>
      </c>
      <c r="P4" s="5" t="inlineStr"/>
      <c r="Q4" s="5" t="n">
        <v>1</v>
      </c>
    </row>
    <row r="5" ht="58" customHeight="1">
      <c r="A5" s="5" t="inlineStr">
        <is>
          <t>VO04</t>
        </is>
      </c>
      <c r="B5" s="5" t="inlineStr">
        <is>
          <t>Corredor dos Ecos</t>
        </is>
      </c>
      <c r="C5" s="5" t="inlineStr">
        <is>
          <t>Armadilha</t>
        </is>
      </c>
      <c r="D5" s="5" t="inlineStr">
        <is>
          <t>Difícil</t>
        </is>
      </c>
      <c r="E5" s="6">
        <f>IF($D5="","",INDEX(Dificuldades!$B$2:$B$4,MATCH($D5,Dificuldades!$A$2:$A$4,0)))</f>
        <v/>
      </c>
      <c r="F5" s="6">
        <f>IF($D5="","",INDEX(Dificuldades!$C$2:$C$4,MATCH($D5,Dificuldades!$A$2:$A$4,0)))</f>
        <v/>
      </c>
      <c r="G5" s="5" t="inlineStr">
        <is>
          <t>Percepção; Acrobacia; Furtividade</t>
        </is>
      </c>
      <c r="H5" s="5" t="inlineStr">
        <is>
          <t>Cada passo volta multiplicado, e junto com o eco vem alguma coisa que anda no contratempo. O chão é feito de placas que afundam sob peso.</t>
        </is>
      </c>
      <c r="I5" s="5" t="inlineStr"/>
      <c r="J5" s="5" t="inlineStr"/>
      <c r="K5" s="5" t="n"/>
      <c r="L5" s="5" t="inlineStr"/>
      <c r="M5" s="5" t="inlineStr"/>
      <c r="N5" s="5" t="inlineStr"/>
      <c r="O5" s="5" t="inlineStr"/>
      <c r="P5" s="5" t="inlineStr"/>
      <c r="Q5" s="5" t="n">
        <v>1</v>
      </c>
    </row>
    <row r="6" ht="58" customHeight="1">
      <c r="A6" s="5" t="inlineStr">
        <is>
          <t>VO05</t>
        </is>
      </c>
      <c r="B6" s="5" t="inlineStr">
        <is>
          <t>Acampamento Abandonado</t>
        </is>
      </c>
      <c r="C6" s="5" t="inlineStr">
        <is>
          <t>Descanso</t>
        </is>
      </c>
      <c r="D6" s="5" t="inlineStr"/>
      <c r="E6" s="6">
        <f>IF($D6="","",INDEX(Dificuldades!$B$2:$B$4,MATCH($D6,Dificuldades!$A$2:$A$4,0)))</f>
        <v/>
      </c>
      <c r="F6" s="6">
        <f>IF($D6="","",INDEX(Dificuldades!$C$2:$C$4,MATCH($D6,Dificuldades!$A$2:$A$4,0)))</f>
        <v/>
      </c>
      <c r="G6" s="5" t="inlineStr"/>
      <c r="H6" s="5" t="inlineStr">
        <is>
          <t>Uma expedição anterior montou barraca aqui e não voltou. As brasas ainda estão mornas, a comida intacta. O grupo descansa — desconfiado, mas descansa.</t>
        </is>
      </c>
      <c r="I6" s="5" t="inlineStr"/>
      <c r="J6" s="5" t="inlineStr"/>
      <c r="K6" s="5" t="n"/>
      <c r="L6" s="5" t="inlineStr"/>
      <c r="M6" s="5" t="inlineStr"/>
      <c r="N6" s="5" t="inlineStr"/>
      <c r="O6" s="5" t="inlineStr"/>
      <c r="P6" s="5" t="inlineStr">
        <is>
          <t>O grupo recupera o fôlego.</t>
        </is>
      </c>
      <c r="Q6" s="5" t="n">
        <v>0</v>
      </c>
    </row>
    <row r="7" ht="58" customHeight="1">
      <c r="A7" s="5" t="inlineStr">
        <is>
          <t>VO06</t>
        </is>
      </c>
      <c r="B7" s="5" t="inlineStr">
        <is>
          <t>Cofre Selado</t>
        </is>
      </c>
      <c r="C7" s="5" t="inlineStr">
        <is>
          <t>Tesouro</t>
        </is>
      </c>
      <c r="D7" s="5" t="inlineStr">
        <is>
          <t>Média</t>
        </is>
      </c>
      <c r="E7" s="6">
        <f>IF($D7="","",INDEX(Dificuldades!$B$2:$B$4,MATCH($D7,Dificuldades!$A$2:$A$4,0)))</f>
        <v/>
      </c>
      <c r="F7" s="6">
        <f>IF($D7="","",INDEX(Dificuldades!$C$2:$C$4,MATCH($D7,Dificuldades!$A$2:$A$4,0)))</f>
        <v/>
      </c>
      <c r="G7" s="5" t="inlineStr">
        <is>
          <t>Prestidigitação; Arcanismo</t>
        </is>
      </c>
      <c r="H7" s="5" t="inlineStr">
        <is>
          <t>Um cofre de ferro fundido, sem fechadura visível, só um sulco em espiral onde deveria estar. Quem entender a espiral leva o que tem dentro.</t>
        </is>
      </c>
      <c r="I7" s="5" t="inlineStr"/>
      <c r="J7" s="5" t="inlineStr"/>
      <c r="K7" s="5" t="n"/>
      <c r="L7" s="5" t="inlineStr"/>
      <c r="M7" s="5" t="inlineStr"/>
      <c r="N7" s="5" t="inlineStr"/>
      <c r="O7" s="5" t="inlineStr"/>
      <c r="P7" s="5" t="inlineStr">
        <is>
          <t>Materiais raros para quem passar no teste.</t>
        </is>
      </c>
      <c r="Q7" s="5" t="n">
        <v>3</v>
      </c>
    </row>
    <row r="8" ht="58" customHeight="1">
      <c r="A8" s="5" t="inlineStr">
        <is>
          <t>VO07</t>
        </is>
      </c>
      <c r="B8" s="5" t="inlineStr">
        <is>
          <t>Ninho de Aberrações</t>
        </is>
      </c>
      <c r="C8" s="5" t="inlineStr">
        <is>
          <t>Combate</t>
        </is>
      </c>
      <c r="D8" s="5" t="inlineStr"/>
      <c r="E8" s="6">
        <f>IF($D8="","",INDEX(Dificuldades!$B$2:$B$4,MATCH($D8,Dificuldades!$A$2:$A$4,0)))</f>
        <v/>
      </c>
      <c r="F8" s="6">
        <f>IF($D8="","",INDEX(Dificuldades!$C$2:$C$4,MATCH($D8,Dificuldades!$A$2:$A$4,0)))</f>
        <v/>
      </c>
      <c r="G8" s="5" t="inlineStr"/>
      <c r="H8" s="5" t="inlineStr">
        <is>
          <t>O vazamento chegou aqui primeiro. O que nasceu do outro lado do selo aprendeu a usar os corredores — e aprendeu que comida desce por eles.</t>
        </is>
      </c>
      <c r="I8" s="5" t="inlineStr"/>
      <c r="J8" s="5" t="inlineStr">
        <is>
          <t>Cria do Vazio</t>
        </is>
      </c>
      <c r="K8" s="5" t="n"/>
      <c r="L8" s="5" t="n">
        <v>15</v>
      </c>
      <c r="M8" s="5" t="n">
        <v>6</v>
      </c>
      <c r="N8" s="5" t="inlineStr">
        <is>
          <t>2d6+2</t>
        </is>
      </c>
      <c r="O8" s="5" t="n">
        <v>34</v>
      </c>
      <c r="P8" s="5" t="inlineStr"/>
      <c r="Q8" s="5" t="n">
        <v>2</v>
      </c>
    </row>
    <row r="9" ht="58" customHeight="1">
      <c r="A9" s="5" t="inlineStr">
        <is>
          <t>VO08</t>
        </is>
      </c>
      <c r="B9" s="5" t="inlineStr">
        <is>
          <t>Ritual Interrompido</t>
        </is>
      </c>
      <c r="C9" s="5" t="inlineStr">
        <is>
          <t>Evento</t>
        </is>
      </c>
      <c r="D9" s="5" t="inlineStr">
        <is>
          <t>Difícil</t>
        </is>
      </c>
      <c r="E9" s="6">
        <f>IF($D9="","",INDEX(Dificuldades!$B$2:$B$4,MATCH($D9,Dificuldades!$A$2:$A$4,0)))</f>
        <v/>
      </c>
      <c r="F9" s="6">
        <f>IF($D9="","",INDEX(Dificuldades!$C$2:$C$4,MATCH($D9,Dificuldades!$A$2:$A$4,0)))</f>
        <v/>
      </c>
      <c r="G9" s="5" t="inlineStr">
        <is>
          <t>Religião; Arcanismo; Intuição</t>
        </is>
      </c>
      <c r="H9" s="5" t="inlineStr">
        <is>
          <t>Alguém tentou fechar a fenda daqui e parou no meio. As velas ainda queimam. Terminar o ritual enfraquece o que espera adiante; errar acorda o resto.</t>
        </is>
      </c>
      <c r="I9" s="5" t="inlineStr"/>
      <c r="J9" s="5" t="inlineStr"/>
      <c r="K9" s="5" t="n"/>
      <c r="L9" s="5" t="inlineStr"/>
      <c r="M9" s="5" t="inlineStr"/>
      <c r="N9" s="5" t="inlineStr"/>
      <c r="O9" s="5" t="inlineStr"/>
      <c r="P9" s="5" t="inlineStr">
        <is>
          <t>O chefe começa o confronto final com 10 de HP a menos.</t>
        </is>
      </c>
      <c r="Q9" s="5" t="n">
        <v>2</v>
      </c>
    </row>
    <row r="10" ht="58" customHeight="1">
      <c r="A10" s="5" t="inlineStr">
        <is>
          <t>VO09</t>
        </is>
      </c>
      <c r="B10" s="5" t="inlineStr">
        <is>
          <t>Passagem Estreita</t>
        </is>
      </c>
      <c r="C10" s="5" t="inlineStr">
        <is>
          <t>Armadilha</t>
        </is>
      </c>
      <c r="D10" s="5" t="inlineStr">
        <is>
          <t>Fácil</t>
        </is>
      </c>
      <c r="E10" s="6">
        <f>IF($D10="","",INDEX(Dificuldades!$B$2:$B$4,MATCH($D10,Dificuldades!$A$2:$A$4,0)))</f>
        <v/>
      </c>
      <c r="F10" s="6">
        <f>IF($D10="","",INDEX(Dificuldades!$C$2:$C$4,MATCH($D10,Dificuldades!$A$2:$A$4,0)))</f>
        <v/>
      </c>
      <c r="G10" s="5" t="inlineStr">
        <is>
          <t>Acrobacia; Atletismo; Furtividade</t>
        </is>
      </c>
      <c r="H10" s="5" t="inlineStr">
        <is>
          <t>A fenda na parede é apertada e cortante, e alguma coisa já ficou presa aqui antes de o grupo chegar.</t>
        </is>
      </c>
      <c r="I10" s="5" t="inlineStr"/>
      <c r="J10" s="5" t="inlineStr"/>
      <c r="K10" s="5" t="n"/>
      <c r="L10" s="5" t="inlineStr"/>
      <c r="M10" s="5" t="inlineStr"/>
      <c r="N10" s="5" t="inlineStr"/>
      <c r="O10" s="5" t="inlineStr"/>
      <c r="P10" s="5" t="inlineStr"/>
      <c r="Q10" s="5" t="n">
        <v>1</v>
      </c>
    </row>
    <row r="11" ht="58" customHeight="1">
      <c r="A11" s="5" t="inlineStr">
        <is>
          <t>VO10</t>
        </is>
      </c>
      <c r="B11" s="5" t="inlineStr">
        <is>
          <t>Sala dos Espelhos Tortos</t>
        </is>
      </c>
      <c r="C11" s="5" t="inlineStr">
        <is>
          <t>Evento</t>
        </is>
      </c>
      <c r="D11" s="5" t="inlineStr">
        <is>
          <t>Média</t>
        </is>
      </c>
      <c r="E11" s="6">
        <f>IF($D11="","",INDEX(Dificuldades!$B$2:$B$4,MATCH($D11,Dificuldades!$A$2:$A$4,0)))</f>
        <v/>
      </c>
      <c r="F11" s="6">
        <f>IF($D11="","",INDEX(Dificuldades!$C$2:$C$4,MATCH($D11,Dificuldades!$A$2:$A$4,0)))</f>
        <v/>
      </c>
      <c r="G11" s="5" t="inlineStr">
        <is>
          <t>Intuição; Percepção; Enganação</t>
        </is>
      </c>
      <c r="H11" s="5" t="inlineStr">
        <is>
          <t>Os reflexos atrasam meio segundo e sorriem quando ninguém sorriu. Um deles aponta para a saída certa. Um deles mente.</t>
        </is>
      </c>
      <c r="I11" s="5" t="inlineStr"/>
      <c r="J11" s="5" t="inlineStr"/>
      <c r="K11" s="5" t="n"/>
      <c r="L11" s="5" t="inlineStr"/>
      <c r="M11" s="5" t="inlineStr"/>
      <c r="N11" s="5" t="inlineStr"/>
      <c r="O11" s="5" t="inlineStr"/>
      <c r="P11" s="5" t="inlineStr">
        <is>
          <t>Atalho: a próxima sala começa com metade do progresso feito.</t>
        </is>
      </c>
      <c r="Q11" s="5" t="n">
        <v>2</v>
      </c>
    </row>
    <row r="12" ht="58" customHeight="1">
      <c r="A12" s="5" t="inlineStr">
        <is>
          <t>VO11</t>
        </is>
      </c>
      <c r="B12" s="5" t="inlineStr">
        <is>
          <t>Guardião Adormecido</t>
        </is>
      </c>
      <c r="C12" s="5" t="inlineStr">
        <is>
          <t>Combate</t>
        </is>
      </c>
      <c r="D12" s="5" t="inlineStr"/>
      <c r="E12" s="6">
        <f>IF($D12="","",INDEX(Dificuldades!$B$2:$B$4,MATCH($D12,Dificuldades!$A$2:$A$4,0)))</f>
        <v/>
      </c>
      <c r="F12" s="6">
        <f>IF($D12="","",INDEX(Dificuldades!$C$2:$C$4,MATCH($D12,Dificuldades!$A$2:$A$4,0)))</f>
        <v/>
      </c>
      <c r="G12" s="5" t="inlineStr"/>
      <c r="H12" s="5" t="inlineStr">
        <is>
          <t>A coisa ocupa o corredor inteiro e respira devagar, como quem dorme há séculos. Dá para tentar passar em silêncio. Nunca dá certo.</t>
        </is>
      </c>
      <c r="I12" s="5" t="inlineStr"/>
      <c r="J12" s="5" t="inlineStr">
        <is>
          <t>Coisa do Umbral</t>
        </is>
      </c>
      <c r="K12" s="5" t="n"/>
      <c r="L12" s="5" t="n">
        <v>16</v>
      </c>
      <c r="M12" s="5" t="n">
        <v>6</v>
      </c>
      <c r="N12" s="5" t="inlineStr">
        <is>
          <t>2d8+3</t>
        </is>
      </c>
      <c r="O12" s="5" t="n">
        <v>40</v>
      </c>
      <c r="P12" s="5" t="inlineStr"/>
      <c r="Q12" s="5" t="n">
        <v>2</v>
      </c>
    </row>
    <row r="13" ht="58" customHeight="1">
      <c r="A13" s="5" t="inlineStr">
        <is>
          <t>VO12</t>
        </is>
      </c>
      <c r="B13" s="5" t="inlineStr">
        <is>
          <t>Poço de Oferendas</t>
        </is>
      </c>
      <c r="C13" s="5" t="inlineStr">
        <is>
          <t>Tesouro</t>
        </is>
      </c>
      <c r="D13" s="5" t="inlineStr">
        <is>
          <t>Difícil</t>
        </is>
      </c>
      <c r="E13" s="6">
        <f>IF($D13="","",INDEX(Dificuldades!$B$2:$B$4,MATCH($D13,Dificuldades!$A$2:$A$4,0)))</f>
        <v/>
      </c>
      <c r="F13" s="6">
        <f>IF($D13="","",INDEX(Dificuldades!$C$2:$C$4,MATCH($D13,Dificuldades!$A$2:$A$4,0)))</f>
        <v/>
      </c>
      <c r="G13" s="5" t="inlineStr">
        <is>
          <t>Religião; Investigação</t>
        </is>
      </c>
      <c r="H13" s="5" t="inlineStr">
        <is>
          <t>Moedas, dentes e anéis cobrem o fundo raso. Cada objeto foi deixado por alguém pedindo passagem — e a maioria não conseguiu.</t>
        </is>
      </c>
      <c r="I13" s="5" t="inlineStr"/>
      <c r="J13" s="5" t="inlineStr"/>
      <c r="K13" s="5" t="n"/>
      <c r="L13" s="5" t="inlineStr"/>
      <c r="M13" s="5" t="inlineStr"/>
      <c r="N13" s="5" t="inlineStr"/>
      <c r="O13" s="5" t="inlineStr"/>
      <c r="P13" s="5" t="inlineStr">
        <is>
          <t>Um item mágico menor, a critério do GM.</t>
        </is>
      </c>
      <c r="Q13" s="5" t="n">
        <v>3</v>
      </c>
    </row>
  </sheetData>
  <dataValidations count="2">
    <dataValidation sqref="C2:C63" showDropDown="0" showInputMessage="0" showErrorMessage="0" allowBlank="0" type="list">
      <formula1>"Combate,Descanso,Armadilha,Evento,Tesouro"</formula1>
    </dataValidation>
    <dataValidation sqref="D2:D63" showDropDown="0" showInputMessage="0" showErrorMessage="0" allowBlank="1" type="list">
      <formula1>=Dificuldades!$A$2:$A$4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8" customWidth="1" min="4" max="4"/>
    <col width="10" customWidth="1" min="5" max="5"/>
    <col width="12" customWidth="1" min="6" max="6"/>
    <col width="8" customWidth="1" min="7" max="7"/>
  </cols>
  <sheetData>
    <row r="1">
      <c r="A1" s="4" t="inlineStr">
        <is>
          <t>sala_id</t>
        </is>
      </c>
      <c r="B1" s="4" t="inlineStr">
        <is>
          <t>nome</t>
        </is>
      </c>
      <c r="C1" s="4" t="inlineStr">
        <is>
          <t>quantidade</t>
        </is>
      </c>
      <c r="D1" s="4" t="inlineStr">
        <is>
          <t>ca</t>
        </is>
      </c>
      <c r="E1" s="4" t="inlineStr">
        <is>
          <t>ataque</t>
        </is>
      </c>
      <c r="F1" s="4" t="inlineStr">
        <is>
          <t>dano</t>
        </is>
      </c>
      <c r="G1" s="4" t="inlineStr">
        <is>
          <t>hp</t>
        </is>
      </c>
    </row>
    <row r="2">
      <c r="A2" s="7" t="inlineStr">
        <is>
          <t>VO11</t>
        </is>
      </c>
      <c r="B2" s="7" t="inlineStr">
        <is>
          <t>Larva do Umbral</t>
        </is>
      </c>
      <c r="C2" s="7" t="n">
        <v>3</v>
      </c>
      <c r="D2" s="7" t="n">
        <v>12</v>
      </c>
      <c r="E2" s="7" t="n">
        <v>3</v>
      </c>
      <c r="F2" s="7" t="inlineStr">
        <is>
          <t>1d6</t>
        </is>
      </c>
      <c r="G2" s="7" t="n">
        <v>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</cols>
  <sheetData>
    <row r="1">
      <c r="A1" s="8" t="inlineStr">
        <is>
          <t>dificuldade</t>
        </is>
      </c>
      <c r="B1" s="8" t="inlineStr">
        <is>
          <t>cd</t>
        </is>
      </c>
      <c r="C1" s="8" t="inlineStr">
        <is>
          <t>alvo_progresso</t>
        </is>
      </c>
    </row>
    <row r="2">
      <c r="A2" s="7" t="inlineStr">
        <is>
          <t>Fácil</t>
        </is>
      </c>
      <c r="B2" s="7" t="n">
        <v>10</v>
      </c>
      <c r="C2" s="7" t="n">
        <v>5</v>
      </c>
    </row>
    <row r="3">
      <c r="A3" s="7" t="inlineStr">
        <is>
          <t>Média</t>
        </is>
      </c>
      <c r="B3" s="7" t="n">
        <v>15</v>
      </c>
      <c r="C3" s="7" t="n">
        <v>10</v>
      </c>
    </row>
    <row r="4">
      <c r="A4" s="7" t="inlineStr">
        <is>
          <t>Difícil</t>
        </is>
      </c>
      <c r="B4" s="7" t="n">
        <v>20</v>
      </c>
      <c r="C4" s="7" t="n">
        <v>15</v>
      </c>
    </row>
    <row r="6">
      <c r="A6" s="3" t="inlineStr">
        <is>
          <t>Mudar aqui recalcula a CD e o alvo de todas as salas do banco.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8" t="inlineStr">
        <is>
          <t>perícia</t>
        </is>
      </c>
      <c r="B1" s="8" t="inlineStr">
        <is>
          <t>atributo</t>
        </is>
      </c>
    </row>
    <row r="2">
      <c r="A2" s="2" t="inlineStr">
        <is>
          <t>Acrobacia</t>
        </is>
      </c>
      <c r="B2" s="2" t="inlineStr">
        <is>
          <t>Destreza (DES)</t>
        </is>
      </c>
    </row>
    <row r="3">
      <c r="A3" s="2" t="inlineStr">
        <is>
          <t>Adestrar Animais</t>
        </is>
      </c>
      <c r="B3" s="2" t="inlineStr">
        <is>
          <t>Sabedoria (SAB)</t>
        </is>
      </c>
    </row>
    <row r="4">
      <c r="A4" s="2" t="inlineStr">
        <is>
          <t>Arcanismo</t>
        </is>
      </c>
      <c r="B4" s="2" t="inlineStr">
        <is>
          <t>Inteligência (INT)</t>
        </is>
      </c>
    </row>
    <row r="5">
      <c r="A5" s="2" t="inlineStr">
        <is>
          <t>Atletismo</t>
        </is>
      </c>
      <c r="B5" s="2" t="inlineStr">
        <is>
          <t>Força (FOR)</t>
        </is>
      </c>
    </row>
    <row r="6">
      <c r="A6" s="2" t="inlineStr">
        <is>
          <t>Atuação</t>
        </is>
      </c>
      <c r="B6" s="2" t="inlineStr">
        <is>
          <t>Carisma (CAR)</t>
        </is>
      </c>
    </row>
    <row r="7">
      <c r="A7" s="2" t="inlineStr">
        <is>
          <t>Enganação</t>
        </is>
      </c>
      <c r="B7" s="2" t="inlineStr">
        <is>
          <t>Carisma (CAR)</t>
        </is>
      </c>
    </row>
    <row r="8">
      <c r="A8" s="2" t="inlineStr">
        <is>
          <t>Furtividade</t>
        </is>
      </c>
      <c r="B8" s="2" t="inlineStr">
        <is>
          <t>Destreza (DES)</t>
        </is>
      </c>
    </row>
    <row r="9">
      <c r="A9" s="2" t="inlineStr">
        <is>
          <t>História</t>
        </is>
      </c>
      <c r="B9" s="2" t="inlineStr">
        <is>
          <t>Inteligência (INT)</t>
        </is>
      </c>
    </row>
    <row r="10">
      <c r="A10" s="2" t="inlineStr">
        <is>
          <t>Intimidação</t>
        </is>
      </c>
      <c r="B10" s="2" t="inlineStr">
        <is>
          <t>Carisma (CAR)</t>
        </is>
      </c>
    </row>
    <row r="11">
      <c r="A11" s="2" t="inlineStr">
        <is>
          <t>Intuição</t>
        </is>
      </c>
      <c r="B11" s="2" t="inlineStr">
        <is>
          <t>Sabedoria (SAB)</t>
        </is>
      </c>
    </row>
    <row r="12">
      <c r="A12" s="2" t="inlineStr">
        <is>
          <t>Investigação</t>
        </is>
      </c>
      <c r="B12" s="2" t="inlineStr">
        <is>
          <t>Inteligência (INT)</t>
        </is>
      </c>
    </row>
    <row r="13">
      <c r="A13" s="2" t="inlineStr">
        <is>
          <t>Medicina</t>
        </is>
      </c>
      <c r="B13" s="2" t="inlineStr">
        <is>
          <t>Sabedoria (SAB)</t>
        </is>
      </c>
    </row>
    <row r="14">
      <c r="A14" s="2" t="inlineStr">
        <is>
          <t>Natureza</t>
        </is>
      </c>
      <c r="B14" s="2" t="inlineStr">
        <is>
          <t>Inteligência (INT)</t>
        </is>
      </c>
    </row>
    <row r="15">
      <c r="A15" s="2" t="inlineStr">
        <is>
          <t>Percepção</t>
        </is>
      </c>
      <c r="B15" s="2" t="inlineStr">
        <is>
          <t>Sabedoria (SAB)</t>
        </is>
      </c>
    </row>
    <row r="16">
      <c r="A16" s="2" t="inlineStr">
        <is>
          <t>Persuasão</t>
        </is>
      </c>
      <c r="B16" s="2" t="inlineStr">
        <is>
          <t>Carisma (CAR)</t>
        </is>
      </c>
    </row>
    <row r="17">
      <c r="A17" s="2" t="inlineStr">
        <is>
          <t>Prestidigitação</t>
        </is>
      </c>
      <c r="B17" s="2" t="inlineStr">
        <is>
          <t>Destreza (DES)</t>
        </is>
      </c>
    </row>
    <row r="18">
      <c r="A18" s="2" t="inlineStr">
        <is>
          <t>Religião</t>
        </is>
      </c>
      <c r="B18" s="2" t="inlineStr">
        <is>
          <t>Inteligência (INT)</t>
        </is>
      </c>
    </row>
    <row r="19">
      <c r="A19" s="2" t="inlineStr">
        <is>
          <t>Sobrevivência</t>
        </is>
      </c>
      <c r="B19" s="2" t="inlineStr">
        <is>
          <t>Sabedoria (SAB)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2026-09-22T19:00:27Z</dcterms:created>
  <dcterms:modified xsi:type="dcterms:W3CDTF">2026-09-22T19:00:27Z</dcterms:modified>
</cp:coreProperties>
</file>