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Incursao" sheetId="2" state="visible" r:id="rId2"/>
    <sheet name="Salas" sheetId="3" state="visible" r:id="rId3"/>
    <sheet name="Dificuldades" sheetId="4" state="visible" r:id="rId4"/>
    <sheet name="Perici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2F3B52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Incursoes 2.0</author>
  </authors>
  <commentList>
    <comment ref="A1" authorId="0" shapeId="0">
      <text>
        <t>Identificador único da sala.</t>
      </text>
    </comment>
    <comment ref="B1" authorId="0" shapeId="0">
      <text>
        <t>1, 2 ou 3 — ou 'Objetivo' para a sala final.</t>
      </text>
    </comment>
    <comment ref="C1" authorId="0" shapeId="0">
      <text>
        <t>Nome da sala mostrado no embed.</t>
      </text>
    </comment>
    <comment ref="D1" authorId="0" shapeId="0">
      <text>
        <t>Combate, Descanso, Armadilha, Evento ou Tesouro.</t>
      </text>
    </comment>
    <comment ref="E1" authorId="0" shapeId="0">
      <text>
        <t>Fácil, Média ou Difícil. Vazio em Descanso e Combate.</t>
      </text>
    </comment>
    <comment ref="F1" authorId="0" shapeId="0">
      <text>
        <t>CALCULADO a partir da dificuldade (aba Dificuldades).</t>
      </text>
    </comment>
    <comment ref="G1" authorId="0" shapeId="0">
      <text>
        <t>CALCULADO: soma de margens que o grupo precisa atingir.</t>
      </text>
    </comment>
    <comment ref="H1" authorId="0" shapeId="0">
      <text>
        <t>Perícias aceitas, separadas por ';'. Vazio em Descanso e Combate.</t>
      </text>
    </comment>
    <comment ref="I1" authorId="0" shapeId="0">
      <text>
        <t>Texto do embed da sala.</t>
      </text>
    </comment>
    <comment ref="J1" authorId="0" shapeId="0">
      <text>
        <t>Caminho em assets/ ou URL da imagem da sala.</t>
      </text>
    </comment>
    <comment ref="K1" authorId="0" shapeId="0">
      <text>
        <t>Só em salas de Combate.</t>
      </text>
    </comment>
    <comment ref="L1" authorId="0" shapeId="0">
      <text>
        <t>Classe de Armadura do monstro.</t>
      </text>
    </comment>
    <comment ref="M1" authorId="0" shapeId="0">
      <text>
        <t>Bônus de ataque do monstro (ex.: 6).</t>
      </text>
    </comment>
    <comment ref="N1" authorId="0" shapeId="0">
      <text>
        <t>Dado de dano do monstro (ex.: 2d6+3).</t>
      </text>
    </comment>
    <comment ref="O1" authorId="0" shapeId="0">
      <text>
        <t>Pontos de vida do monstro.</t>
      </text>
    </comment>
    <comment ref="P1" authorId="0" shapeId="0">
      <text>
        <t>Bônus da sala (texto livre). Opcional.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Planilha de incursão — Incursões 2.0</t>
        </is>
      </c>
    </row>
    <row r="2">
      <c r="A2" s="2" t="inlineStr"/>
    </row>
    <row r="3">
      <c r="A3" s="1" t="inlineStr">
        <is>
          <t>Como usar</t>
        </is>
      </c>
    </row>
    <row r="4">
      <c r="A4" s="2" t="inlineStr">
        <is>
          <t>1. Preencha a aba 'Incursao' com os dados gerais e a aba 'Salas' com as 10 salas.</t>
        </is>
      </c>
    </row>
    <row r="5">
      <c r="A5" s="2" t="inlineStr">
        <is>
          <t>2. São exatamente 9 salas de conteúdo (3 por linha) mais 1 sala de Objetivo.</t>
        </is>
      </c>
    </row>
    <row r="6">
      <c r="A6" s="2" t="inlineStr">
        <is>
          <t>3. A sala de Objetivo é sempre do tipo Combate e precisa dos campos de monstro preenchidos.</t>
        </is>
      </c>
    </row>
    <row r="7">
      <c r="A7" s="2" t="inlineStr">
        <is>
          <t xml:space="preserve">   Salas de Combate não usam dificuldade nem perícia: a mecânica é CA / ataque / HP.</t>
        </is>
      </c>
    </row>
    <row r="8">
      <c r="A8" s="2" t="inlineStr">
        <is>
          <t>4. Converta para JSON:  python tools/importar_planilha.py &lt;esta planilha&gt;</t>
        </is>
      </c>
    </row>
    <row r="9">
      <c r="A9" s="2" t="inlineStr">
        <is>
          <t xml:space="preserve">   O importador valida tudo e recusa a planilha se algo estiver faltando.</t>
        </is>
      </c>
    </row>
    <row r="10">
      <c r="A10" s="2" t="inlineStr"/>
    </row>
    <row r="11">
      <c r="A11" s="1" t="inlineStr">
        <is>
          <t>Legenda de cores (aba Salas)</t>
        </is>
      </c>
    </row>
    <row r="12">
      <c r="A12" s="2" t="inlineStr">
        <is>
          <t>Fundo branco  = você preenche.</t>
        </is>
      </c>
    </row>
    <row r="13">
      <c r="A13" s="2" t="inlineStr">
        <is>
          <t>Fundo cinza   = calculado por fórmula a partir da dificuldade. Não edite.</t>
        </is>
      </c>
    </row>
    <row r="14">
      <c r="A14" s="2" t="inlineStr">
        <is>
          <t>Fundo amarelo = a sala de Objetivo, com regras próprias.</t>
        </is>
      </c>
    </row>
    <row r="15">
      <c r="A15" s="2" t="inlineStr"/>
    </row>
    <row r="16">
      <c r="A16" s="1" t="inlineStr">
        <is>
          <t>Regras de progressão</t>
        </is>
      </c>
    </row>
    <row r="17">
      <c r="A17" s="2" t="inlineStr">
        <is>
          <t>Toda sala de uma linha leva a qualquer sala da linha seguinte: o grupo escolhe 1 das 3</t>
        </is>
      </c>
    </row>
    <row r="18">
      <c r="A18" s="2" t="inlineStr">
        <is>
          <t>opções por linha, três vezes, e então enfrenta o Objetivo. Não há volta nem pulo de linha.</t>
        </is>
      </c>
    </row>
    <row r="19">
      <c r="A19" s="2" t="inlineStr"/>
    </row>
    <row r="20">
      <c r="A20" s="1" t="inlineStr">
        <is>
          <t>Testes de perícia</t>
        </is>
      </c>
    </row>
    <row r="21">
      <c r="A21" s="2" t="inlineStr">
        <is>
          <t>Cada jogador rola d20 + o modificador da melhor perícia que tiver entre as listadas.</t>
        </is>
      </c>
    </row>
    <row r="22">
      <c r="A22" s="2" t="inlineStr">
        <is>
          <t>Quem passa da CD contribui a margem (rolagem + mod − CD) como progresso; quem falha</t>
        </is>
      </c>
    </row>
    <row r="23">
      <c r="A23" s="2" t="inlineStr">
        <is>
          <t>contribui 0 e sofre a consequência individual do tipo da sala. A sala é superada quando</t>
        </is>
      </c>
    </row>
    <row r="24">
      <c r="A24" s="2" t="inlineStr">
        <is>
          <t>a soma das margens do grupo atinge o alvo_progresso.</t>
        </is>
      </c>
    </row>
    <row r="25">
      <c r="A25" s="2" t="inlineStr"/>
    </row>
    <row r="26">
      <c r="A26" s="2" t="inlineStr">
        <is>
          <t>Combate não usa esse sistema: é d20 + bônus de ataque contra a CA do monstro, dano</t>
        </is>
      </c>
    </row>
    <row r="27">
      <c r="A27" s="2" t="inlineStr">
        <is>
          <t>subtraído do HP dele, e contra-ataque do monstro contra a CA de um personagem.</t>
        </is>
      </c>
    </row>
    <row r="28">
      <c r="A28" s="2" t="inlineStr"/>
    </row>
    <row r="29">
      <c r="A29" s="2" t="inlineStr">
        <is>
          <t>Perícias válidas: veja a aba 'Pericias'. Pode escrever com ou sem acento.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62" customWidth="1" min="3" max="3"/>
  </cols>
  <sheetData>
    <row r="1" ht="28" customHeight="1">
      <c r="A1" s="3" t="inlineStr">
        <is>
          <t>campo</t>
        </is>
      </c>
      <c r="B1" s="3" t="inlineStr">
        <is>
          <t>valor</t>
        </is>
      </c>
      <c r="C1" s="3" t="inlineStr">
        <is>
          <t>o que é</t>
        </is>
      </c>
    </row>
    <row r="2" ht="30" customHeight="1">
      <c r="A2" s="1" t="inlineStr">
        <is>
          <t>id</t>
        </is>
      </c>
      <c r="B2" s="4" t="inlineStr">
        <is>
          <t>vortice_cripta</t>
        </is>
      </c>
      <c r="C2" s="5" t="inlineStr">
        <is>
          <t>Identificador curto e único, sem espaço. Vira o nome do arquivo JSON.</t>
        </is>
      </c>
    </row>
    <row r="3" ht="30" customHeight="1">
      <c r="A3" s="1" t="inlineStr">
        <is>
          <t>nome</t>
        </is>
      </c>
      <c r="B3" s="4" t="inlineStr">
        <is>
          <t>A Cripta do Vórtice</t>
        </is>
      </c>
      <c r="C3" s="5" t="inlineStr">
        <is>
          <t>Nome exibido aos jogadores.</t>
        </is>
      </c>
    </row>
    <row r="4" ht="30" customHeight="1">
      <c r="A4" s="1" t="inlineStr">
        <is>
          <t>organizacao</t>
        </is>
      </c>
      <c r="B4" s="4" t="inlineStr">
        <is>
          <t>Vórtice Oculto</t>
        </is>
      </c>
      <c r="C4" s="5" t="inlineStr">
        <is>
          <t>Uma das quatro: Vórtice Oculto, Aliança das Sombras, Guilda dos Mortos, Sentinelas do Alvorecer.</t>
        </is>
      </c>
    </row>
    <row r="5" ht="30" customHeight="1">
      <c r="A5" s="1" t="inlineStr">
        <is>
          <t>descricao</t>
        </is>
      </c>
      <c r="B5" s="4" t="inlineStr">
        <is>
          <t>Um selo antigo cedeu sob a cidade e algo do outro lado começou a vazar. A Organização quer o Olho recuperado antes que a fenda se alargue.</t>
        </is>
      </c>
      <c r="C5" s="5" t="inlineStr">
        <is>
          <t>Texto de abertura da run.</t>
        </is>
      </c>
    </row>
    <row r="6" ht="30" customHeight="1">
      <c r="A6" s="1" t="inlineStr">
        <is>
          <t>imagem_capa</t>
        </is>
      </c>
      <c r="B6" s="4" t="inlineStr">
        <is>
          <t>assets/vortice_cripta/capa.png</t>
        </is>
      </c>
      <c r="C6" s="5" t="inlineStr">
        <is>
          <t>Caminho local (dentro de assets/) ou URL. Opcional.</t>
        </is>
      </c>
    </row>
    <row r="7" ht="30" customHeight="1">
      <c r="A7" s="1" t="inlineStr">
        <is>
          <t>recompensa_mes</t>
        </is>
      </c>
      <c r="B7" s="4" t="n">
        <v>10</v>
      </c>
      <c r="C7" s="5" t="inlineStr">
        <is>
          <t>MEs por participante ao completar o objetivo.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4" customWidth="1" min="4" max="4"/>
    <col width="13" customWidth="1" min="5" max="5"/>
    <col width="7" customWidth="1" min="6" max="6"/>
    <col width="15" customWidth="1" min="7" max="7"/>
    <col width="30" customWidth="1" min="8" max="8"/>
    <col width="62" customWidth="1" min="9" max="9"/>
    <col width="30" customWidth="1" min="10" max="10"/>
    <col width="22" customWidth="1" min="11" max="11"/>
    <col width="11" customWidth="1" min="12" max="12"/>
    <col width="15" customWidth="1" min="13" max="13"/>
    <col width="14" customWidth="1" min="14" max="14"/>
    <col width="11" customWidth="1" min="15" max="15"/>
    <col width="34" customWidth="1" min="16" max="16"/>
  </cols>
  <sheetData>
    <row r="1" ht="28" customHeight="1">
      <c r="A1" s="3" t="inlineStr">
        <is>
          <t>sala_id</t>
        </is>
      </c>
      <c r="B1" s="3" t="inlineStr">
        <is>
          <t>linha</t>
        </is>
      </c>
      <c r="C1" s="3" t="inlineStr">
        <is>
          <t>nome</t>
        </is>
      </c>
      <c r="D1" s="3" t="inlineStr">
        <is>
          <t>tipo</t>
        </is>
      </c>
      <c r="E1" s="3" t="inlineStr">
        <is>
          <t>dificuldade</t>
        </is>
      </c>
      <c r="F1" s="3" t="inlineStr">
        <is>
          <t>cd</t>
        </is>
      </c>
      <c r="G1" s="3" t="inlineStr">
        <is>
          <t>alvo_progresso</t>
        </is>
      </c>
      <c r="H1" s="3" t="inlineStr">
        <is>
          <t>pericias</t>
        </is>
      </c>
      <c r="I1" s="3" t="inlineStr">
        <is>
          <t>descricao</t>
        </is>
      </c>
      <c r="J1" s="3" t="inlineStr">
        <is>
          <t>imagem</t>
        </is>
      </c>
      <c r="K1" s="3" t="inlineStr">
        <is>
          <t>monstro_nome</t>
        </is>
      </c>
      <c r="L1" s="3" t="inlineStr">
        <is>
          <t>monstro_ca</t>
        </is>
      </c>
      <c r="M1" s="3" t="inlineStr">
        <is>
          <t>monstro_ataque</t>
        </is>
      </c>
      <c r="N1" s="3" t="inlineStr">
        <is>
          <t>monstro_dano</t>
        </is>
      </c>
      <c r="O1" s="3" t="inlineStr">
        <is>
          <t>monstro_hp</t>
        </is>
      </c>
      <c r="P1" s="3" t="inlineStr">
        <is>
          <t>recompensa</t>
        </is>
      </c>
    </row>
    <row r="2" ht="62" customHeight="1">
      <c r="A2" s="6" t="inlineStr">
        <is>
          <t>L1A</t>
        </is>
      </c>
      <c r="B2" s="6" t="n">
        <v>1</v>
      </c>
      <c r="C2" s="6" t="inlineStr">
        <is>
          <t>Portal Instável</t>
        </is>
      </c>
      <c r="D2" s="6" t="inlineStr">
        <is>
          <t>Armadilha</t>
        </is>
      </c>
      <c r="E2" s="6" t="inlineStr">
        <is>
          <t>Média</t>
        </is>
      </c>
      <c r="F2" s="7">
        <f>IF($E2="","",INDEX(Dificuldades!$B$2:$B$4,MATCH($E2,Dificuldades!$A$2:$A$4,0)))</f>
        <v/>
      </c>
      <c r="G2" s="7">
        <f>IF($E2="","",INDEX(Dificuldades!$C$2:$C$4,MATCH($E2,Dificuldades!$A$2:$A$4,0)))</f>
        <v/>
      </c>
      <c r="H2" s="6" t="inlineStr">
        <is>
          <t>Acrobacia; Arcanismo</t>
        </is>
      </c>
      <c r="I2" s="6" t="inlineStr">
        <is>
          <t>A escada termina num arco de pedra que ainda pulsa. A cada batida, o ar se dobra e cospe estilhaços de realidade pelo corredor. Passar exige ler o ritmo — ou ser muito rápido.</t>
        </is>
      </c>
      <c r="J2" s="6" t="inlineStr">
        <is>
          <t>assets/vortice_cripta/portal.png</t>
        </is>
      </c>
      <c r="K2" s="6" t="inlineStr"/>
      <c r="L2" s="6" t="inlineStr"/>
      <c r="M2" s="6" t="inlineStr"/>
      <c r="N2" s="6" t="inlineStr"/>
      <c r="O2" s="6" t="inlineStr"/>
      <c r="P2" s="6" t="inlineStr">
        <is>
          <t>Quem passa ileso encontra um fragmento do selo.</t>
        </is>
      </c>
    </row>
    <row r="3" ht="62" customHeight="1">
      <c r="A3" s="6" t="inlineStr">
        <is>
          <t>L1B</t>
        </is>
      </c>
      <c r="B3" s="6" t="n">
        <v>1</v>
      </c>
      <c r="C3" s="6" t="inlineStr">
        <is>
          <t>Biblioteca Submersa</t>
        </is>
      </c>
      <c r="D3" s="6" t="inlineStr">
        <is>
          <t>Evento</t>
        </is>
      </c>
      <c r="E3" s="6" t="inlineStr">
        <is>
          <t>Média</t>
        </is>
      </c>
      <c r="F3" s="7">
        <f>IF($E3="","",INDEX(Dificuldades!$B$2:$B$4,MATCH($E3,Dificuldades!$A$2:$A$4,0)))</f>
        <v/>
      </c>
      <c r="G3" s="7">
        <f>IF($E3="","",INDEX(Dificuldades!$C$2:$C$4,MATCH($E3,Dificuldades!$A$2:$A$4,0)))</f>
        <v/>
      </c>
      <c r="H3" s="6" t="inlineStr">
        <is>
          <t>Investigação; Arcanismo; História</t>
        </is>
      </c>
      <c r="I3" s="6" t="inlineStr">
        <is>
          <t>Água escura cobre as prateleiras até a altura do peito. Os livros que boiam ainda estão secos, e isso é o mais perturbador da sala. Algum deles diz onde o Olho foi guardado.</t>
        </is>
      </c>
      <c r="J3" s="6" t="inlineStr">
        <is>
          <t>assets/vortice_cripta/biblioteca.png</t>
        </is>
      </c>
      <c r="K3" s="6" t="inlineStr"/>
      <c r="L3" s="6" t="inlineStr"/>
      <c r="M3" s="6" t="inlineStr"/>
      <c r="N3" s="6" t="inlineStr"/>
      <c r="O3" s="6" t="inlineStr"/>
      <c r="P3" s="6" t="inlineStr">
        <is>
          <t>Revela a CA do chefe antes do confronto final.</t>
        </is>
      </c>
    </row>
    <row r="4" ht="62" customHeight="1">
      <c r="A4" s="6" t="inlineStr">
        <is>
          <t>L1C</t>
        </is>
      </c>
      <c r="B4" s="6" t="n">
        <v>1</v>
      </c>
      <c r="C4" s="6" t="inlineStr">
        <is>
          <t>Sentinelas de Pedra</t>
        </is>
      </c>
      <c r="D4" s="6" t="inlineStr">
        <is>
          <t>Combate</t>
        </is>
      </c>
      <c r="E4" s="6" t="inlineStr"/>
      <c r="F4" s="7">
        <f>IF($E4="","",INDEX(Dificuldades!$B$2:$B$4,MATCH($E4,Dificuldades!$A$2:$A$4,0)))</f>
        <v/>
      </c>
      <c r="G4" s="7">
        <f>IF($E4="","",INDEX(Dificuldades!$C$2:$C$4,MATCH($E4,Dificuldades!$A$2:$A$4,0)))</f>
        <v/>
      </c>
      <c r="H4" s="6" t="inlineStr"/>
      <c r="I4" s="6" t="inlineStr">
        <is>
          <t>Duas estátuas ladeiam a porta interna. Elas não se mexem enquanto ninguém olha para o que carregam — e o que carregam é o que o grupo veio buscar.</t>
        </is>
      </c>
      <c r="J4" s="6" t="inlineStr">
        <is>
          <t>assets/vortice_cripta/sentinelas.png</t>
        </is>
      </c>
      <c r="K4" s="6" t="inlineStr">
        <is>
          <t>Sentinela de Basalto</t>
        </is>
      </c>
      <c r="L4" s="6" t="n">
        <v>14</v>
      </c>
      <c r="M4" s="6" t="n">
        <v>5</v>
      </c>
      <c r="N4" s="6" t="inlineStr">
        <is>
          <t>1d10+3</t>
        </is>
      </c>
      <c r="O4" s="6" t="n">
        <v>26</v>
      </c>
      <c r="P4" s="6" t="inlineStr"/>
    </row>
    <row r="5" ht="62" customHeight="1">
      <c r="A5" s="6" t="inlineStr">
        <is>
          <t>L2A</t>
        </is>
      </c>
      <c r="B5" s="6" t="n">
        <v>2</v>
      </c>
      <c r="C5" s="6" t="inlineStr">
        <is>
          <t>Corredor dos Ecos</t>
        </is>
      </c>
      <c r="D5" s="6" t="inlineStr">
        <is>
          <t>Armadilha</t>
        </is>
      </c>
      <c r="E5" s="6" t="inlineStr">
        <is>
          <t>Difícil</t>
        </is>
      </c>
      <c r="F5" s="7">
        <f>IF($E5="","",INDEX(Dificuldades!$B$2:$B$4,MATCH($E5,Dificuldades!$A$2:$A$4,0)))</f>
        <v/>
      </c>
      <c r="G5" s="7">
        <f>IF($E5="","",INDEX(Dificuldades!$C$2:$C$4,MATCH($E5,Dificuldades!$A$2:$A$4,0)))</f>
        <v/>
      </c>
      <c r="H5" s="6" t="inlineStr">
        <is>
          <t>Percepção; Acrobacia; Furtividade</t>
        </is>
      </c>
      <c r="I5" s="6" t="inlineStr">
        <is>
          <t>Cada passo volta multiplicado, e junto com o eco vem alguma coisa que anda no contratempo. O chão está coberto de placas que afundam sob peso.</t>
        </is>
      </c>
      <c r="J5" s="6" t="inlineStr">
        <is>
          <t>assets/vortice_cripta/corredor.png</t>
        </is>
      </c>
      <c r="K5" s="6" t="inlineStr"/>
      <c r="L5" s="6" t="inlineStr"/>
      <c r="M5" s="6" t="inlineStr"/>
      <c r="N5" s="6" t="inlineStr"/>
      <c r="O5" s="6" t="inlineStr"/>
      <c r="P5" s="6" t="inlineStr"/>
    </row>
    <row r="6" ht="62" customHeight="1">
      <c r="A6" s="6" t="inlineStr">
        <is>
          <t>L2B</t>
        </is>
      </c>
      <c r="B6" s="6" t="n">
        <v>2</v>
      </c>
      <c r="C6" s="6" t="inlineStr">
        <is>
          <t>Acampamento Abandonado</t>
        </is>
      </c>
      <c r="D6" s="6" t="inlineStr">
        <is>
          <t>Descanso</t>
        </is>
      </c>
      <c r="E6" s="6" t="inlineStr"/>
      <c r="F6" s="7">
        <f>IF($E6="","",INDEX(Dificuldades!$B$2:$B$4,MATCH($E6,Dificuldades!$A$2:$A$4,0)))</f>
        <v/>
      </c>
      <c r="G6" s="7">
        <f>IF($E6="","",INDEX(Dificuldades!$C$2:$C$4,MATCH($E6,Dificuldades!$A$2:$A$4,0)))</f>
        <v/>
      </c>
      <c r="H6" s="6" t="inlineStr"/>
      <c r="I6" s="6" t="inlineStr">
        <is>
          <t>Uma expedição anterior montou barraca aqui e não voltou. As brasas ainda estão mornas, a comida intacta. O grupo descansa — desconfiado, mas descansa.</t>
        </is>
      </c>
      <c r="J6" s="6" t="inlineStr">
        <is>
          <t>assets/vortice_cripta/acampamento.png</t>
        </is>
      </c>
      <c r="K6" s="6" t="inlineStr"/>
      <c r="L6" s="6" t="inlineStr"/>
      <c r="M6" s="6" t="inlineStr"/>
      <c r="N6" s="6" t="inlineStr"/>
      <c r="O6" s="6" t="inlineStr"/>
      <c r="P6" s="6" t="inlineStr">
        <is>
          <t>Cada personagem caído volta com metade do HP máximo.</t>
        </is>
      </c>
    </row>
    <row r="7" ht="62" customHeight="1">
      <c r="A7" s="6" t="inlineStr">
        <is>
          <t>L2C</t>
        </is>
      </c>
      <c r="B7" s="6" t="n">
        <v>2</v>
      </c>
      <c r="C7" s="6" t="inlineStr">
        <is>
          <t>Cofre Selado</t>
        </is>
      </c>
      <c r="D7" s="6" t="inlineStr">
        <is>
          <t>Tesouro</t>
        </is>
      </c>
      <c r="E7" s="6" t="inlineStr">
        <is>
          <t>Média</t>
        </is>
      </c>
      <c r="F7" s="7">
        <f>IF($E7="","",INDEX(Dificuldades!$B$2:$B$4,MATCH($E7,Dificuldades!$A$2:$A$4,0)))</f>
        <v/>
      </c>
      <c r="G7" s="7">
        <f>IF($E7="","",INDEX(Dificuldades!$C$2:$C$4,MATCH($E7,Dificuldades!$A$2:$A$4,0)))</f>
        <v/>
      </c>
      <c r="H7" s="6" t="inlineStr">
        <is>
          <t>Prestidigitação; Arcanismo</t>
        </is>
      </c>
      <c r="I7" s="6" t="inlineStr">
        <is>
          <t>Um cofre de ferro fundido, sem fechadura visível, só um sulco em espiral onde deveria estar. Quem entender a espiral leva o que tem dentro.</t>
        </is>
      </c>
      <c r="J7" s="6" t="inlineStr">
        <is>
          <t>assets/vortice_cripta/cofre.png</t>
        </is>
      </c>
      <c r="K7" s="6" t="inlineStr"/>
      <c r="L7" s="6" t="inlineStr"/>
      <c r="M7" s="6" t="inlineStr"/>
      <c r="N7" s="6" t="inlineStr"/>
      <c r="O7" s="6" t="inlineStr"/>
      <c r="P7" s="6" t="inlineStr">
        <is>
          <t>Materiais raros para quem passar no teste.</t>
        </is>
      </c>
    </row>
    <row r="8" ht="62" customHeight="1">
      <c r="A8" s="6" t="inlineStr">
        <is>
          <t>L3A</t>
        </is>
      </c>
      <c r="B8" s="6" t="n">
        <v>3</v>
      </c>
      <c r="C8" s="6" t="inlineStr">
        <is>
          <t>Ninho de Aberrações</t>
        </is>
      </c>
      <c r="D8" s="6" t="inlineStr">
        <is>
          <t>Combate</t>
        </is>
      </c>
      <c r="E8" s="6" t="inlineStr"/>
      <c r="F8" s="7">
        <f>IF($E8="","",INDEX(Dificuldades!$B$2:$B$4,MATCH($E8,Dificuldades!$A$2:$A$4,0)))</f>
        <v/>
      </c>
      <c r="G8" s="7">
        <f>IF($E8="","",INDEX(Dificuldades!$C$2:$C$4,MATCH($E8,Dificuldades!$A$2:$A$4,0)))</f>
        <v/>
      </c>
      <c r="H8" s="6" t="inlineStr"/>
      <c r="I8" s="6" t="inlineStr">
        <is>
          <t>O vazamento chegou aqui primeiro. O que nasceu do outro lado do selo aprendeu a usar os corredores — e aprendeu que comida desce por eles.</t>
        </is>
      </c>
      <c r="J8" s="6" t="inlineStr">
        <is>
          <t>assets/vortice_cripta/ninho.png</t>
        </is>
      </c>
      <c r="K8" s="6" t="inlineStr">
        <is>
          <t>Cria do Vazio</t>
        </is>
      </c>
      <c r="L8" s="6" t="n">
        <v>15</v>
      </c>
      <c r="M8" s="6" t="n">
        <v>6</v>
      </c>
      <c r="N8" s="6" t="inlineStr">
        <is>
          <t>2d6+2</t>
        </is>
      </c>
      <c r="O8" s="6" t="n">
        <v>34</v>
      </c>
      <c r="P8" s="6" t="inlineStr"/>
    </row>
    <row r="9" ht="62" customHeight="1">
      <c r="A9" s="6" t="inlineStr">
        <is>
          <t>L3B</t>
        </is>
      </c>
      <c r="B9" s="6" t="n">
        <v>3</v>
      </c>
      <c r="C9" s="6" t="inlineStr">
        <is>
          <t>Ritual Interrompido</t>
        </is>
      </c>
      <c r="D9" s="6" t="inlineStr">
        <is>
          <t>Evento</t>
        </is>
      </c>
      <c r="E9" s="6" t="inlineStr">
        <is>
          <t>Difícil</t>
        </is>
      </c>
      <c r="F9" s="7">
        <f>IF($E9="","",INDEX(Dificuldades!$B$2:$B$4,MATCH($E9,Dificuldades!$A$2:$A$4,0)))</f>
        <v/>
      </c>
      <c r="G9" s="7">
        <f>IF($E9="","",INDEX(Dificuldades!$C$2:$C$4,MATCH($E9,Dificuldades!$A$2:$A$4,0)))</f>
        <v/>
      </c>
      <c r="H9" s="6" t="inlineStr">
        <is>
          <t>Religião; Arcanismo; Intuição</t>
        </is>
      </c>
      <c r="I9" s="6" t="inlineStr">
        <is>
          <t>Alguém tentou fechar a fenda daqui e parou no meio. As velas ainda queimam. Terminar o ritual enfraquece o que espera adiante; errar acorda o resto.</t>
        </is>
      </c>
      <c r="J9" s="6" t="inlineStr">
        <is>
          <t>assets/vortice_cripta/ritual.png</t>
        </is>
      </c>
      <c r="K9" s="6" t="inlineStr"/>
      <c r="L9" s="6" t="inlineStr"/>
      <c r="M9" s="6" t="inlineStr"/>
      <c r="N9" s="6" t="inlineStr"/>
      <c r="O9" s="6" t="inlineStr"/>
      <c r="P9" s="6" t="inlineStr">
        <is>
          <t>O chefe começa o combate final com 10 de HP a menos.</t>
        </is>
      </c>
    </row>
    <row r="10" ht="62" customHeight="1">
      <c r="A10" s="6" t="inlineStr">
        <is>
          <t>L3C</t>
        </is>
      </c>
      <c r="B10" s="6" t="n">
        <v>3</v>
      </c>
      <c r="C10" s="6" t="inlineStr">
        <is>
          <t>Passagem Estreita</t>
        </is>
      </c>
      <c r="D10" s="6" t="inlineStr">
        <is>
          <t>Armadilha</t>
        </is>
      </c>
      <c r="E10" s="6" t="inlineStr">
        <is>
          <t>Fácil</t>
        </is>
      </c>
      <c r="F10" s="7">
        <f>IF($E10="","",INDEX(Dificuldades!$B$2:$B$4,MATCH($E10,Dificuldades!$A$2:$A$4,0)))</f>
        <v/>
      </c>
      <c r="G10" s="7">
        <f>IF($E10="","",INDEX(Dificuldades!$C$2:$C$4,MATCH($E10,Dificuldades!$A$2:$A$4,0)))</f>
        <v/>
      </c>
      <c r="H10" s="6" t="inlineStr">
        <is>
          <t>Acrobacia; Atletismo; Furtividade</t>
        </is>
      </c>
      <c r="I10" s="6" t="inlineStr">
        <is>
          <t>A fenda na parede é a única entrada para a câmara final. É apertada, cortante, e alguma coisa já ficou presa aqui antes do grupo chegar.</t>
        </is>
      </c>
      <c r="J10" s="6" t="inlineStr">
        <is>
          <t>assets/vortice_cripta/passagem.png</t>
        </is>
      </c>
      <c r="K10" s="6" t="inlineStr"/>
      <c r="L10" s="6" t="inlineStr"/>
      <c r="M10" s="6" t="inlineStr"/>
      <c r="N10" s="6" t="inlineStr"/>
      <c r="O10" s="6" t="inlineStr"/>
      <c r="P10" s="6" t="inlineStr"/>
    </row>
    <row r="11" ht="62" customHeight="1">
      <c r="A11" s="8" t="inlineStr">
        <is>
          <t>OBJ</t>
        </is>
      </c>
      <c r="B11" s="8" t="inlineStr">
        <is>
          <t>Objetivo</t>
        </is>
      </c>
      <c r="C11" s="8" t="inlineStr">
        <is>
          <t>O Olho do Vórtice</t>
        </is>
      </c>
      <c r="D11" s="8" t="inlineStr">
        <is>
          <t>Combate</t>
        </is>
      </c>
      <c r="E11" s="8" t="inlineStr"/>
      <c r="F11" s="7">
        <f>IF($E11="","",INDEX(Dificuldades!$B$2:$B$4,MATCH($E11,Dificuldades!$A$2:$A$4,0)))</f>
        <v/>
      </c>
      <c r="G11" s="7">
        <f>IF($E11="","",INDEX(Dificuldades!$C$2:$C$4,MATCH($E11,Dificuldades!$A$2:$A$4,0)))</f>
        <v/>
      </c>
      <c r="H11" s="8" t="inlineStr"/>
      <c r="I11" s="8" t="inlineStr">
        <is>
          <t>A câmara é uma esfera perfeita e o Olho flutua no centro dela, aberto. O que o guarda não tem nome porque nada que o viu voltou para dar um.</t>
        </is>
      </c>
      <c r="J11" s="8" t="inlineStr">
        <is>
          <t>assets/vortice_cripta/olho.png</t>
        </is>
      </c>
      <c r="K11" s="8" t="inlineStr">
        <is>
          <t>Guardião do Selo</t>
        </is>
      </c>
      <c r="L11" s="8" t="n">
        <v>16</v>
      </c>
      <c r="M11" s="8" t="n">
        <v>7</v>
      </c>
      <c r="N11" s="8" t="inlineStr">
        <is>
          <t>2d8+4</t>
        </is>
      </c>
      <c r="O11" s="8" t="n">
        <v>58</v>
      </c>
      <c r="P11" s="8" t="inlineStr">
        <is>
          <t>10 MEs por participante + pontos com o Vórtice Oculto</t>
        </is>
      </c>
    </row>
  </sheetData>
  <dataValidations count="3">
    <dataValidation sqref="D2:D11" showDropDown="0" showInputMessage="0" showErrorMessage="0" allowBlank="0" error="Tipo inválido." type="list">
      <formula1>"Combate,Descanso,Armadilha,Evento,Tesouro"</formula1>
    </dataValidation>
    <dataValidation sqref="E2:E11" showDropDown="0" showInputMessage="0" showErrorMessage="0" allowBlank="1" error="Use Fácil, Média ou Difícil (ou deixe vazio em Descanso)." type="list">
      <formula1>=Dificuldades!$A$2:$A$4</formula1>
    </dataValidation>
    <dataValidation sqref="B2:B11" showDropDown="0" showInputMessage="0" showErrorMessage="0" allowBlank="0" type="list">
      <formula1>"1,2,3,Objetivo"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</cols>
  <sheetData>
    <row r="1" ht="28" customHeight="1">
      <c r="A1" s="3" t="inlineStr">
        <is>
          <t>dificuldade</t>
        </is>
      </c>
      <c r="B1" s="3" t="inlineStr">
        <is>
          <t>cd</t>
        </is>
      </c>
      <c r="C1" s="3" t="inlineStr">
        <is>
          <t>alvo_progresso</t>
        </is>
      </c>
    </row>
    <row r="2">
      <c r="A2" s="9" t="inlineStr">
        <is>
          <t>Fácil</t>
        </is>
      </c>
      <c r="B2" s="10" t="n">
        <v>10</v>
      </c>
      <c r="C2" s="10" t="n">
        <v>5</v>
      </c>
    </row>
    <row r="3">
      <c r="A3" s="9" t="inlineStr">
        <is>
          <t>Média</t>
        </is>
      </c>
      <c r="B3" s="10" t="n">
        <v>15</v>
      </c>
      <c r="C3" s="10" t="n">
        <v>10</v>
      </c>
    </row>
    <row r="4">
      <c r="A4" s="9" t="inlineStr">
        <is>
          <t>Difícil</t>
        </is>
      </c>
      <c r="B4" s="10" t="n">
        <v>20</v>
      </c>
      <c r="C4" s="10" t="n">
        <v>15</v>
      </c>
    </row>
    <row r="6">
      <c r="A6" s="11" t="inlineStr">
        <is>
          <t>Valores de partida do documento de design, a calibrar no playtest. Mudar aqui recalcula a CD e o alvo de todas as salas.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8" customHeight="1">
      <c r="A1" s="3" t="inlineStr">
        <is>
          <t>perícia</t>
        </is>
      </c>
      <c r="B1" s="3" t="inlineStr">
        <is>
          <t>atributo</t>
        </is>
      </c>
    </row>
    <row r="2">
      <c r="A2" s="2" t="inlineStr">
        <is>
          <t>Acrobacia</t>
        </is>
      </c>
      <c r="B2" s="2" t="inlineStr">
        <is>
          <t>Destreza (DES)</t>
        </is>
      </c>
    </row>
    <row r="3">
      <c r="A3" s="2" t="inlineStr">
        <is>
          <t>Adestrar Animais</t>
        </is>
      </c>
      <c r="B3" s="2" t="inlineStr">
        <is>
          <t>Sabedoria (SAB)</t>
        </is>
      </c>
    </row>
    <row r="4">
      <c r="A4" s="2" t="inlineStr">
        <is>
          <t>Arcanismo</t>
        </is>
      </c>
      <c r="B4" s="2" t="inlineStr">
        <is>
          <t>Inteligência (INT)</t>
        </is>
      </c>
    </row>
    <row r="5">
      <c r="A5" s="2" t="inlineStr">
        <is>
          <t>Atletismo</t>
        </is>
      </c>
      <c r="B5" s="2" t="inlineStr">
        <is>
          <t>Força (FOR)</t>
        </is>
      </c>
    </row>
    <row r="6">
      <c r="A6" s="2" t="inlineStr">
        <is>
          <t>Atuação</t>
        </is>
      </c>
      <c r="B6" s="2" t="inlineStr">
        <is>
          <t>Carisma (CAR)</t>
        </is>
      </c>
    </row>
    <row r="7">
      <c r="A7" s="2" t="inlineStr">
        <is>
          <t>Enganação</t>
        </is>
      </c>
      <c r="B7" s="2" t="inlineStr">
        <is>
          <t>Carisma (CAR)</t>
        </is>
      </c>
    </row>
    <row r="8">
      <c r="A8" s="2" t="inlineStr">
        <is>
          <t>Furtividade</t>
        </is>
      </c>
      <c r="B8" s="2" t="inlineStr">
        <is>
          <t>Destreza (DES)</t>
        </is>
      </c>
    </row>
    <row r="9">
      <c r="A9" s="2" t="inlineStr">
        <is>
          <t>História</t>
        </is>
      </c>
      <c r="B9" s="2" t="inlineStr">
        <is>
          <t>Inteligência (INT)</t>
        </is>
      </c>
    </row>
    <row r="10">
      <c r="A10" s="2" t="inlineStr">
        <is>
          <t>Intimidação</t>
        </is>
      </c>
      <c r="B10" s="2" t="inlineStr">
        <is>
          <t>Carisma (CAR)</t>
        </is>
      </c>
    </row>
    <row r="11">
      <c r="A11" s="2" t="inlineStr">
        <is>
          <t>Intuição</t>
        </is>
      </c>
      <c r="B11" s="2" t="inlineStr">
        <is>
          <t>Sabedoria (SAB)</t>
        </is>
      </c>
    </row>
    <row r="12">
      <c r="A12" s="2" t="inlineStr">
        <is>
          <t>Investigação</t>
        </is>
      </c>
      <c r="B12" s="2" t="inlineStr">
        <is>
          <t>Inteligência (INT)</t>
        </is>
      </c>
    </row>
    <row r="13">
      <c r="A13" s="2" t="inlineStr">
        <is>
          <t>Medicina</t>
        </is>
      </c>
      <c r="B13" s="2" t="inlineStr">
        <is>
          <t>Sabedoria (SAB)</t>
        </is>
      </c>
    </row>
    <row r="14">
      <c r="A14" s="2" t="inlineStr">
        <is>
          <t>Natureza</t>
        </is>
      </c>
      <c r="B14" s="2" t="inlineStr">
        <is>
          <t>Inteligência (INT)</t>
        </is>
      </c>
    </row>
    <row r="15">
      <c r="A15" s="2" t="inlineStr">
        <is>
          <t>Percepção</t>
        </is>
      </c>
      <c r="B15" s="2" t="inlineStr">
        <is>
          <t>Sabedoria (SAB)</t>
        </is>
      </c>
    </row>
    <row r="16">
      <c r="A16" s="2" t="inlineStr">
        <is>
          <t>Persuasão</t>
        </is>
      </c>
      <c r="B16" s="2" t="inlineStr">
        <is>
          <t>Carisma (CAR)</t>
        </is>
      </c>
    </row>
    <row r="17">
      <c r="A17" s="2" t="inlineStr">
        <is>
          <t>Prestidigitação</t>
        </is>
      </c>
      <c r="B17" s="2" t="inlineStr">
        <is>
          <t>Destreza (DES)</t>
        </is>
      </c>
    </row>
    <row r="18">
      <c r="A18" s="2" t="inlineStr">
        <is>
          <t>Religião</t>
        </is>
      </c>
      <c r="B18" s="2" t="inlineStr">
        <is>
          <t>Inteligência (INT)</t>
        </is>
      </c>
    </row>
    <row r="19">
      <c r="A19" s="2" t="inlineStr">
        <is>
          <t>Sobrevivência</t>
        </is>
      </c>
      <c r="B19" s="2" t="inlineStr">
        <is>
          <t>Sabedoria (SAB)</t>
        </is>
      </c>
    </row>
    <row r="21">
      <c r="A21" s="11" t="inlineStr">
        <is>
          <t>Nomes aceitos na coluna 'pericias' da aba Salas, separados por ';'. Acento é opcional.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2026-09-21T13:37:26Z</dcterms:created>
  <dcterms:modified xsi:type="dcterms:W3CDTF">2026-09-21T13:37:26Z</dcterms:modified>
</cp:coreProperties>
</file>