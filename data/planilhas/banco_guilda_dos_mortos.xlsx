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Banco" sheetId="2" state="visible" r:id="rId2"/>
    <sheet name="Salas" sheetId="3" state="visible" r:id="rId3"/>
    <sheet name="Monstros" sheetId="4" state="visible" r:id="rId4"/>
    <sheet name="Dificuld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color rgb="00808080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3B5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Banco de salas — Guilda dos Mortos</t>
        </is>
      </c>
    </row>
    <row r="2">
      <c r="A2" s="2" t="inlineStr"/>
    </row>
    <row r="3">
      <c r="A3" s="1" t="inlineStr">
        <is>
          <t>O tema</t>
        </is>
      </c>
    </row>
    <row r="4">
      <c r="A4" s="2" t="inlineStr">
        <is>
          <t>A Guilda não enterra: arquiva. Cada corpo vira uma linha num livro, e o livro</t>
        </is>
      </c>
    </row>
    <row r="5">
      <c r="A5" s="2" t="inlineStr">
        <is>
          <t>vale mais que o corpo. As salas são ossuário, capela e arquivo — com o que</t>
        </is>
      </c>
    </row>
    <row r="6">
      <c r="A6" s="2" t="inlineStr">
        <is>
          <t>anda por eles quando o arquivista não olha.</t>
        </is>
      </c>
    </row>
    <row r="7">
      <c r="A7" s="2" t="inlineStr"/>
    </row>
    <row r="8">
      <c r="A8" s="1" t="inlineStr">
        <is>
          <t>As criaturas</t>
        </is>
      </c>
    </row>
    <row r="9">
      <c r="A9" s="2" t="inlineStr">
        <is>
          <t>Todas vêm do bestiário: só o nome preenchido, as colunas de número vazias.</t>
        </is>
      </c>
    </row>
    <row r="10">
      <c r="A10" s="2" t="inlineStr">
        <is>
          <t>O Carniçal da Vala Comum paralisa com a garra; o save se repete a cada turno.</t>
        </is>
      </c>
    </row>
    <row r="11">
      <c r="A11" s="2" t="inlineStr"/>
    </row>
    <row r="12">
      <c r="A12" s="1" t="inlineStr">
        <is>
          <t>Como usar</t>
        </is>
      </c>
    </row>
    <row r="13">
      <c r="A13" s="2" t="inlineStr">
        <is>
          <t>1. Edite a aba 'Salas'. Uma linha por sala, sala_id único.</t>
        </is>
      </c>
    </row>
    <row r="14">
      <c r="A14" s="2" t="inlineStr">
        <is>
          <t>2. python tools/importar_banco.py data/planilhas/banco_guilda_dos_mortos.xlsx</t>
        </is>
      </c>
    </row>
    <row r="15">
      <c r="A15" s="2" t="inlineStr">
        <is>
          <t>3. No Discord, /incursao recarregar.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organizacao</t>
        </is>
      </c>
      <c r="B1" s="2" t="inlineStr">
        <is>
          <t>Guilda dos Mortos</t>
        </is>
      </c>
    </row>
    <row r="2">
      <c r="A2" s="3" t="inlineStr">
        <is>
          <t>A qual Organizacao este banco pertence. Nao apague esta aba.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3" customWidth="1" min="4" max="4"/>
    <col width="7" customWidth="1" min="5" max="5"/>
    <col width="15" customWidth="1" min="6" max="6"/>
    <col width="30" customWidth="1" min="7" max="7"/>
    <col width="62" customWidth="1" min="8" max="8"/>
    <col width="16" customWidth="1" min="9" max="9"/>
    <col width="24" customWidth="1" min="10" max="10"/>
    <col width="12" customWidth="1" min="11" max="11"/>
    <col width="11" customWidth="1" min="12" max="12"/>
    <col width="15" customWidth="1" min="13" max="13"/>
    <col width="14" customWidth="1" min="14" max="14"/>
    <col width="11" customWidth="1" min="15" max="15"/>
    <col width="32" customWidth="1" min="16" max="16"/>
    <col width="18" customWidth="1" min="17" max="17"/>
  </cols>
  <sheetData>
    <row r="1" ht="28" customHeight="1">
      <c r="A1" s="4" t="inlineStr">
        <is>
          <t>sala_id</t>
        </is>
      </c>
      <c r="B1" s="4" t="inlineStr">
        <is>
          <t>nome</t>
        </is>
      </c>
      <c r="C1" s="4" t="inlineStr">
        <is>
          <t>tipo</t>
        </is>
      </c>
      <c r="D1" s="4" t="inlineStr">
        <is>
          <t>dificuldade</t>
        </is>
      </c>
      <c r="E1" s="4" t="inlineStr">
        <is>
          <t>cd</t>
        </is>
      </c>
      <c r="F1" s="4" t="inlineStr">
        <is>
          <t>alvo_progresso</t>
        </is>
      </c>
      <c r="G1" s="4" t="inlineStr">
        <is>
          <t>pericias</t>
        </is>
      </c>
      <c r="H1" s="4" t="inlineStr">
        <is>
          <t>descricao</t>
        </is>
      </c>
      <c r="I1" s="4" t="inlineStr">
        <is>
          <t>imagem</t>
        </is>
      </c>
      <c r="J1" s="4" t="inlineStr">
        <is>
          <t>monstro_nome</t>
        </is>
      </c>
      <c r="K1" s="4" t="inlineStr">
        <is>
          <t>monstro_quantidade</t>
        </is>
      </c>
      <c r="L1" s="4" t="inlineStr">
        <is>
          <t>monstro_ca</t>
        </is>
      </c>
      <c r="M1" s="4" t="inlineStr">
        <is>
          <t>monstro_ataque</t>
        </is>
      </c>
      <c r="N1" s="4" t="inlineStr">
        <is>
          <t>monstro_dano</t>
        </is>
      </c>
      <c r="O1" s="4" t="inlineStr">
        <is>
          <t>monstro_hp</t>
        </is>
      </c>
      <c r="P1" s="4" t="inlineStr">
        <is>
          <t>recompensa</t>
        </is>
      </c>
      <c r="Q1" s="4" t="inlineStr">
        <is>
          <t>pontos_organizacao</t>
        </is>
      </c>
    </row>
    <row r="2" ht="58" customHeight="1">
      <c r="A2" s="5" t="inlineStr">
        <is>
          <t>GM01</t>
        </is>
      </c>
      <c r="B2" s="5" t="inlineStr">
        <is>
          <t>Portão de Ossos</t>
        </is>
      </c>
      <c r="C2" s="5" t="inlineStr">
        <is>
          <t>Combate</t>
        </is>
      </c>
      <c r="D2" s="5" t="inlineStr"/>
      <c r="E2" s="6" t="n"/>
      <c r="F2" s="6" t="n"/>
      <c r="G2" s="5" t="inlineStr"/>
      <c r="H2" s="5" t="inlineStr">
        <is>
          <t>O portão é feito do que sobrou de quem tentou entrar sem convite, e a Guilda faz questão de que isso seja legível de longe. Quatro peças ainda seguram lança.</t>
        </is>
      </c>
      <c r="I2" s="5" t="inlineStr"/>
      <c r="J2" s="5" t="inlineStr">
        <is>
          <t>Esqueleto</t>
        </is>
      </c>
      <c r="K2" s="5" t="n">
        <v>4</v>
      </c>
      <c r="L2" s="5" t="n"/>
      <c r="M2" s="5" t="n"/>
      <c r="N2" s="5" t="n"/>
      <c r="O2" s="5" t="n"/>
      <c r="P2" s="5" t="inlineStr"/>
      <c r="Q2" s="5" t="n">
        <v>1</v>
      </c>
    </row>
    <row r="3" ht="58" customHeight="1">
      <c r="A3" s="5" t="inlineStr">
        <is>
          <t>GM02</t>
        </is>
      </c>
      <c r="B3" s="5" t="inlineStr">
        <is>
          <t>Poço dos Sudários</t>
        </is>
      </c>
      <c r="C3" s="5" t="inlineStr">
        <is>
          <t>Armadilha</t>
        </is>
      </c>
      <c r="D3" s="5" t="inlineStr">
        <is>
          <t>Média</t>
        </is>
      </c>
      <c r="E3" s="6">
        <f>IF($D3="","",INDEX(Dificuldades!$B$2:$B$4,MATCH($D3,Dificuldades!$A$2:$A$4,0)))</f>
        <v/>
      </c>
      <c r="F3" s="6">
        <f>IF($D3="","",INDEX(Dificuldades!$C$2:$C$4,MATCH($D3,Dificuldades!$A$2:$A$4,0)))</f>
        <v/>
      </c>
      <c r="G3" s="5" t="inlineStr">
        <is>
          <t>Acrobacia; Percepção</t>
        </is>
      </c>
      <c r="H3" s="5" t="inlineStr">
        <is>
          <t>Panos brancos descem do teto até o chão, centenas deles, e a passagem é entre eles. Nem todos estão vazios, e o que pesa dentro de um deles ainda escorre.</t>
        </is>
      </c>
      <c r="I3" s="5" t="inlineStr"/>
      <c r="J3" s="5" t="inlineStr"/>
      <c r="K3" s="5" t="n"/>
      <c r="L3" s="5" t="n"/>
      <c r="M3" s="5" t="n"/>
      <c r="N3" s="5" t="n"/>
      <c r="O3" s="5" t="n"/>
      <c r="P3" s="5" t="inlineStr"/>
      <c r="Q3" s="5" t="n">
        <v>1</v>
      </c>
    </row>
    <row r="4" ht="58" customHeight="1">
      <c r="A4" s="5" t="inlineStr">
        <is>
          <t>GM03</t>
        </is>
      </c>
      <c r="B4" s="5" t="inlineStr">
        <is>
          <t>Vala Comum</t>
        </is>
      </c>
      <c r="C4" s="5" t="inlineStr">
        <is>
          <t>Combate</t>
        </is>
      </c>
      <c r="D4" s="5" t="inlineStr"/>
      <c r="E4" s="6" t="n"/>
      <c r="F4" s="6" t="n"/>
      <c r="G4" s="5" t="inlineStr"/>
      <c r="H4" s="5" t="inlineStr">
        <is>
          <t>A vala tem três metros de fundo e ninguém a fechou. O que se move lá dentro se move devagar — menos um, que não se move nada até estar perto.</t>
        </is>
      </c>
      <c r="I4" s="5" t="inlineStr"/>
      <c r="J4" s="5" t="inlineStr">
        <is>
          <t>Zumbi</t>
        </is>
      </c>
      <c r="K4" s="5" t="n">
        <v>3</v>
      </c>
      <c r="L4" s="5" t="n"/>
      <c r="M4" s="5" t="n"/>
      <c r="N4" s="5" t="n"/>
      <c r="O4" s="5" t="n"/>
      <c r="P4" s="5" t="inlineStr"/>
      <c r="Q4" s="5" t="n">
        <v>2</v>
      </c>
    </row>
    <row r="5" ht="58" customHeight="1">
      <c r="A5" s="5" t="inlineStr">
        <is>
          <t>GM04</t>
        </is>
      </c>
      <c r="B5" s="5" t="inlineStr">
        <is>
          <t>Capela Invertida</t>
        </is>
      </c>
      <c r="C5" s="5" t="inlineStr">
        <is>
          <t>Evento</t>
        </is>
      </c>
      <c r="D5" s="5" t="inlineStr">
        <is>
          <t>Média</t>
        </is>
      </c>
      <c r="E5" s="6">
        <f>IF($D5="","",INDEX(Dificuldades!$B$2:$B$4,MATCH($D5,Dificuldades!$A$2:$A$4,0)))</f>
        <v/>
      </c>
      <c r="F5" s="6">
        <f>IF($D5="","",INDEX(Dificuldades!$C$2:$C$4,MATCH($D5,Dificuldades!$A$2:$A$4,0)))</f>
        <v/>
      </c>
      <c r="G5" s="5" t="inlineStr">
        <is>
          <t>Religião; Arcanismo</t>
        </is>
      </c>
      <c r="H5" s="5" t="inlineStr">
        <is>
          <t>O altar está no teto e as velas queimam para baixo, pingando cera que sobe. Rezar aqui funciona. Rezar errado aqui também funciona, e é esse o problema.</t>
        </is>
      </c>
      <c r="I5" s="5" t="inlineStr"/>
      <c r="J5" s="5" t="inlineStr"/>
      <c r="K5" s="5" t="n"/>
      <c r="L5" s="5" t="n"/>
      <c r="M5" s="5" t="n"/>
      <c r="N5" s="5" t="n"/>
      <c r="O5" s="5" t="n"/>
      <c r="P5" s="5" t="inlineStr">
        <is>
          <t>Bênção torta: o próximo teste do grupo sai com folga.</t>
        </is>
      </c>
      <c r="Q5" s="5" t="n">
        <v>2</v>
      </c>
    </row>
    <row r="6" ht="58" customHeight="1">
      <c r="A6" s="5" t="inlineStr">
        <is>
          <t>GM05</t>
        </is>
      </c>
      <c r="B6" s="5" t="inlineStr">
        <is>
          <t>Cela do Coveiro</t>
        </is>
      </c>
      <c r="C6" s="5" t="inlineStr">
        <is>
          <t>Descanso</t>
        </is>
      </c>
      <c r="D6" s="5" t="inlineStr"/>
      <c r="E6" s="6" t="n"/>
      <c r="F6" s="6" t="n"/>
      <c r="G6" s="5" t="inlineStr"/>
      <c r="H6" s="5" t="inlineStr">
        <is>
          <t>Um catre, uma bacia e um caderno de linhas por preencher. O coveiro não está, e as coisas daqui são as únicas do ossuário que não pertenceram a um morto.</t>
        </is>
      </c>
      <c r="I6" s="5" t="inlineStr"/>
      <c r="J6" s="5" t="inlineStr"/>
      <c r="K6" s="5" t="n"/>
      <c r="L6" s="5" t="n"/>
      <c r="M6" s="5" t="n"/>
      <c r="N6" s="5" t="n"/>
      <c r="O6" s="5" t="n"/>
      <c r="P6" s="5" t="inlineStr">
        <is>
          <t>O grupo recupera o fôlego.</t>
        </is>
      </c>
      <c r="Q6" s="5" t="n">
        <v>0</v>
      </c>
    </row>
    <row r="7" ht="58" customHeight="1">
      <c r="A7" s="5" t="inlineStr">
        <is>
          <t>GM06</t>
        </is>
      </c>
      <c r="B7" s="5" t="inlineStr">
        <is>
          <t>Corredor sem Luz</t>
        </is>
      </c>
      <c r="C7" s="5" t="inlineStr">
        <is>
          <t>Combate</t>
        </is>
      </c>
      <c r="D7" s="5" t="inlineStr"/>
      <c r="E7" s="6" t="n"/>
      <c r="F7" s="6" t="n"/>
      <c r="G7" s="5" t="inlineStr"/>
      <c r="H7" s="5" t="inlineStr">
        <is>
          <t>As tochas acendem e apagam sozinhas, e no intervalo entre uma coisa e outra as sombras da parede ficam sempre uma a mais do que o grupo tem gente.</t>
        </is>
      </c>
      <c r="I7" s="5" t="inlineStr"/>
      <c r="J7" s="5" t="inlineStr">
        <is>
          <t>Sombra</t>
        </is>
      </c>
      <c r="K7" s="5" t="n">
        <v>4</v>
      </c>
      <c r="L7" s="5" t="n"/>
      <c r="M7" s="5" t="n"/>
      <c r="N7" s="5" t="n"/>
      <c r="O7" s="5" t="n"/>
      <c r="P7" s="5" t="inlineStr"/>
      <c r="Q7" s="5" t="n">
        <v>2</v>
      </c>
    </row>
    <row r="8" ht="58" customHeight="1">
      <c r="A8" s="5" t="inlineStr">
        <is>
          <t>GM07</t>
        </is>
      </c>
      <c r="B8" s="5" t="inlineStr">
        <is>
          <t>Mesa de Amortalhar</t>
        </is>
      </c>
      <c r="C8" s="5" t="inlineStr">
        <is>
          <t>Tesouro</t>
        </is>
      </c>
      <c r="D8" s="5" t="inlineStr">
        <is>
          <t>Média</t>
        </is>
      </c>
      <c r="E8" s="6">
        <f>IF($D8="","",INDEX(Dificuldades!$B$2:$B$4,MATCH($D8,Dificuldades!$A$2:$A$4,0)))</f>
        <v/>
      </c>
      <c r="F8" s="6">
        <f>IF($D8="","",INDEX(Dificuldades!$C$2:$C$4,MATCH($D8,Dificuldades!$A$2:$A$4,0)))</f>
        <v/>
      </c>
      <c r="G8" s="5" t="inlineStr">
        <is>
          <t>Investigação; Medicina</t>
        </is>
      </c>
      <c r="H8" s="5" t="inlineStr">
        <is>
          <t>É onde a Guilda prepara o que vai para o arquivo. Os instrumentos são bons, e o que foi tirado dos corpos antes de amortalhar está na gaveta de baixo.</t>
        </is>
      </c>
      <c r="I8" s="5" t="inlineStr"/>
      <c r="J8" s="5" t="inlineStr"/>
      <c r="K8" s="5" t="n"/>
      <c r="L8" s="5" t="n"/>
      <c r="M8" s="5" t="n"/>
      <c r="N8" s="5" t="n"/>
      <c r="O8" s="5" t="n"/>
      <c r="P8" s="5" t="inlineStr">
        <is>
          <t>O que a Guilda tirou dos mortos e não anotou.</t>
        </is>
      </c>
      <c r="Q8" s="5" t="n">
        <v>2</v>
      </c>
    </row>
    <row r="9" ht="58" customHeight="1">
      <c r="A9" s="5" t="inlineStr">
        <is>
          <t>GM08</t>
        </is>
      </c>
      <c r="B9" s="5" t="inlineStr">
        <is>
          <t>Galeria dos Nomes</t>
        </is>
      </c>
      <c r="C9" s="5" t="inlineStr">
        <is>
          <t>Evento</t>
        </is>
      </c>
      <c r="D9" s="5" t="inlineStr">
        <is>
          <t>Fácil</t>
        </is>
      </c>
      <c r="E9" s="6">
        <f>IF($D9="","",INDEX(Dificuldades!$B$2:$B$4,MATCH($D9,Dificuldades!$A$2:$A$4,0)))</f>
        <v/>
      </c>
      <c r="F9" s="6">
        <f>IF($D9="","",INDEX(Dificuldades!$C$2:$C$4,MATCH($D9,Dificuldades!$A$2:$A$4,0)))</f>
        <v/>
      </c>
      <c r="G9" s="5" t="inlineStr">
        <is>
          <t>História; Intuição</t>
        </is>
      </c>
      <c r="H9" s="5" t="inlineStr">
        <is>
          <t>Paredes de lápides sem corpo, só nome e data. Uma delas tem o nome do mensageiro que a Guilda mandou aqui — com a data de três dias antes de ele descer.</t>
        </is>
      </c>
      <c r="I9" s="5" t="inlineStr"/>
      <c r="J9" s="5" t="inlineStr"/>
      <c r="K9" s="5" t="n"/>
      <c r="L9" s="5" t="n"/>
      <c r="M9" s="5" t="n"/>
      <c r="N9" s="5" t="n"/>
      <c r="O9" s="5" t="n"/>
      <c r="P9" s="5" t="inlineStr">
        <is>
          <t>Uma pista do que espera no fim.</t>
        </is>
      </c>
      <c r="Q9" s="5" t="n">
        <v>1</v>
      </c>
    </row>
    <row r="10" ht="58" customHeight="1">
      <c r="A10" s="5" t="inlineStr">
        <is>
          <t>GM09</t>
        </is>
      </c>
      <c r="B10" s="5" t="inlineStr">
        <is>
          <t>Ala dos Lamentos</t>
        </is>
      </c>
      <c r="C10" s="5" t="inlineStr">
        <is>
          <t>Combate</t>
        </is>
      </c>
      <c r="D10" s="5" t="inlineStr"/>
      <c r="E10" s="6" t="n"/>
      <c r="F10" s="6" t="n"/>
      <c r="G10" s="5" t="inlineStr"/>
      <c r="H10" s="5" t="inlineStr">
        <is>
          <t>O som vem de dentro das paredes e não para quando o grupo para. O que grita não tem boca, e passa pela pedra como quem passa por cortina.</t>
        </is>
      </c>
      <c r="I10" s="5" t="inlineStr"/>
      <c r="J10" s="5" t="inlineStr">
        <is>
          <t>Espectro</t>
        </is>
      </c>
      <c r="K10" s="5" t="n">
        <v>4</v>
      </c>
      <c r="L10" s="5" t="n"/>
      <c r="M10" s="5" t="n"/>
      <c r="N10" s="5" t="n"/>
      <c r="O10" s="5" t="n"/>
      <c r="P10" s="5" t="inlineStr"/>
      <c r="Q10" s="5" t="n">
        <v>2</v>
      </c>
    </row>
    <row r="11" ht="58" customHeight="1">
      <c r="A11" s="5" t="inlineStr">
        <is>
          <t>GM10</t>
        </is>
      </c>
      <c r="B11" s="5" t="inlineStr">
        <is>
          <t>Escada Quebrada</t>
        </is>
      </c>
      <c r="C11" s="5" t="inlineStr">
        <is>
          <t>Armadilha</t>
        </is>
      </c>
      <c r="D11" s="5" t="inlineStr">
        <is>
          <t>Difícil</t>
        </is>
      </c>
      <c r="E11" s="6">
        <f>IF($D11="","",INDEX(Dificuldades!$B$2:$B$4,MATCH($D11,Dificuldades!$A$2:$A$4,0)))</f>
        <v/>
      </c>
      <c r="F11" s="6">
        <f>IF($D11="","",INDEX(Dificuldades!$C$2:$C$4,MATCH($D11,Dificuldades!$A$2:$A$4,0)))</f>
        <v/>
      </c>
      <c r="G11" s="5" t="inlineStr">
        <is>
          <t>Atletismo; Acrobacia</t>
        </is>
      </c>
      <c r="H11" s="5" t="inlineStr">
        <is>
          <t>Faltam onze degraus no meio, e o vão dá direto no nível de baixo do ossuário, onde a Guilda empilha o que não coube em caixa.</t>
        </is>
      </c>
      <c r="I11" s="5" t="inlineStr"/>
      <c r="J11" s="5" t="inlineStr"/>
      <c r="K11" s="5" t="n"/>
      <c r="L11" s="5" t="n"/>
      <c r="M11" s="5" t="n"/>
      <c r="N11" s="5" t="n"/>
      <c r="O11" s="5" t="n"/>
      <c r="P11" s="5" t="inlineStr"/>
      <c r="Q11" s="5" t="n">
        <v>1</v>
      </c>
    </row>
    <row r="12" ht="58" customHeight="1">
      <c r="A12" s="5" t="inlineStr">
        <is>
          <t>GM11</t>
        </is>
      </c>
      <c r="B12" s="5" t="inlineStr">
        <is>
          <t>Fossa do Gigante</t>
        </is>
      </c>
      <c r="C12" s="5" t="inlineStr">
        <is>
          <t>Combate</t>
        </is>
      </c>
      <c r="D12" s="5" t="inlineStr"/>
      <c r="E12" s="6" t="n"/>
      <c r="F12" s="6" t="n"/>
      <c r="G12" s="5" t="inlineStr"/>
      <c r="H12" s="5" t="inlineStr">
        <is>
          <t>Alguém costurou dois corpos grandes de volta ao trabalho e não caprichou. Eles são lentos, são burros, e cada um aguenta o que o grupo inteiro aguenta junto.</t>
        </is>
      </c>
      <c r="I12" s="5" t="inlineStr"/>
      <c r="J12" s="5" t="inlineStr">
        <is>
          <t>Ogro Zumbi</t>
        </is>
      </c>
      <c r="K12" s="5" t="n">
        <v>2</v>
      </c>
      <c r="L12" s="5" t="n"/>
      <c r="M12" s="5" t="n"/>
      <c r="N12" s="5" t="n"/>
      <c r="O12" s="5" t="n"/>
      <c r="P12" s="5" t="inlineStr"/>
      <c r="Q12" s="5" t="n">
        <v>2</v>
      </c>
    </row>
    <row r="13" ht="58" customHeight="1">
      <c r="A13" s="5" t="inlineStr">
        <is>
          <t>GM12</t>
        </is>
      </c>
      <c r="B13" s="5" t="inlineStr">
        <is>
          <t>Relicário Lacrado</t>
        </is>
      </c>
      <c r="C13" s="5" t="inlineStr">
        <is>
          <t>Tesouro</t>
        </is>
      </c>
      <c r="D13" s="5" t="inlineStr">
        <is>
          <t>Difícil</t>
        </is>
      </c>
      <c r="E13" s="6">
        <f>IF($D13="","",INDEX(Dificuldades!$B$2:$B$4,MATCH($D13,Dificuldades!$A$2:$A$4,0)))</f>
        <v/>
      </c>
      <c r="F13" s="6">
        <f>IF($D13="","",INDEX(Dificuldades!$C$2:$C$4,MATCH($D13,Dificuldades!$A$2:$A$4,0)))</f>
        <v/>
      </c>
      <c r="G13" s="5" t="inlineStr">
        <is>
          <t>Arcanismo; História</t>
        </is>
      </c>
      <c r="H13" s="5" t="inlineStr">
        <is>
          <t>A porta do relicário foi lacrada por dentro, o que é uma informação em si. O lacre é de cera e osso, e a cera ainda está mole.</t>
        </is>
      </c>
      <c r="I13" s="5" t="inlineStr"/>
      <c r="J13" s="5" t="inlineStr"/>
      <c r="K13" s="5" t="n"/>
      <c r="L13" s="5" t="n"/>
      <c r="M13" s="5" t="n"/>
      <c r="N13" s="5" t="n"/>
      <c r="O13" s="5" t="n"/>
      <c r="P13" s="5" t="inlineStr">
        <is>
          <t>Uma relíquia do arquivo da Guilda.</t>
        </is>
      </c>
      <c r="Q13" s="5" t="n">
        <v>3</v>
      </c>
    </row>
  </sheetData>
  <dataValidations count="2">
    <dataValidation sqref="C2:C63" showDropDown="0" showInputMessage="0" showErrorMessage="0" allowBlank="0" type="list">
      <formula1>"Combate,Descanso,Armadilha,Evento,Tesouro"</formula1>
    </dataValidation>
    <dataValidation sqref="D2:D63" showDropDown="0" showInputMessage="0" showErrorMessage="0" allowBlank="1" type="list">
      <formula1>=Dificuldades!$A$2:$A$4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8" customWidth="1" min="4" max="4"/>
    <col width="10" customWidth="1" min="5" max="5"/>
    <col width="12" customWidth="1" min="6" max="6"/>
    <col width="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 ht="28" customHeight="1">
      <c r="A1" s="4" t="inlineStr">
        <is>
          <t>sala_id</t>
        </is>
      </c>
      <c r="B1" s="4" t="inlineStr">
        <is>
          <t>nome</t>
        </is>
      </c>
      <c r="C1" s="4" t="inlineStr">
        <is>
          <t>quantidade</t>
        </is>
      </c>
      <c r="D1" s="4" t="inlineStr">
        <is>
          <t>ca</t>
        </is>
      </c>
      <c r="E1" s="4" t="inlineStr">
        <is>
          <t>ataque</t>
        </is>
      </c>
      <c r="F1" s="4" t="inlineStr">
        <is>
          <t>dano</t>
        </is>
      </c>
      <c r="G1" s="4" t="inlineStr">
        <is>
          <t>hp</t>
        </is>
      </c>
      <c r="H1" s="4" t="inlineStr">
        <is>
          <t>ataques</t>
        </is>
      </c>
      <c r="I1" s="4" t="inlineStr">
        <is>
          <t>saves</t>
        </is>
      </c>
      <c r="J1" s="4" t="inlineStr">
        <is>
          <t>saves_vantagem</t>
        </is>
      </c>
      <c r="K1" s="4" t="inlineStr">
        <is>
          <t>habilidade</t>
        </is>
      </c>
      <c r="L1" s="4" t="inlineStr">
        <is>
          <t>habilidade_texto</t>
        </is>
      </c>
      <c r="M1" s="4" t="inlineStr">
        <is>
          <t>habilidade_save</t>
        </is>
      </c>
      <c r="N1" s="4" t="inlineStr">
        <is>
          <t>habilidade_cd</t>
        </is>
      </c>
      <c r="O1" s="4" t="inlineStr">
        <is>
          <t>habilidade_dano</t>
        </is>
      </c>
      <c r="P1" s="4" t="inlineStr">
        <is>
          <t>habilidade_alvos</t>
        </is>
      </c>
      <c r="Q1" s="4" t="inlineStr">
        <is>
          <t>habilidade_atordoa</t>
        </is>
      </c>
      <c r="R1" s="4" t="inlineStr">
        <is>
          <t>habilidade_cada</t>
        </is>
      </c>
      <c r="S1" s="4" t="inlineStr">
        <is>
          <t>habilidade_recarga</t>
        </is>
      </c>
      <c r="T1" s="4" t="inlineStr">
        <is>
          <t>habilidade_save_repete</t>
        </is>
      </c>
      <c r="U1" s="4" t="inlineStr">
        <is>
          <t>habilidade_metade</t>
        </is>
      </c>
    </row>
    <row r="2">
      <c r="A2" s="7" t="inlineStr">
        <is>
          <t>GM03</t>
        </is>
      </c>
      <c r="B2" s="7" t="inlineStr">
        <is>
          <t>Carniçal</t>
        </is>
      </c>
      <c r="C2" s="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</cols>
  <sheetData>
    <row r="1" ht="28" customHeight="1">
      <c r="A1" s="4" t="inlineStr">
        <is>
          <t>dificuldade</t>
        </is>
      </c>
      <c r="B1" s="4" t="inlineStr">
        <is>
          <t>cd</t>
        </is>
      </c>
      <c r="C1" s="4" t="inlineStr">
        <is>
          <t>alvo_progresso</t>
        </is>
      </c>
    </row>
    <row r="2">
      <c r="A2" s="7" t="inlineStr">
        <is>
          <t>Fácil</t>
        </is>
      </c>
      <c r="B2" s="7" t="n">
        <v>10</v>
      </c>
      <c r="C2" s="7" t="n">
        <v>5</v>
      </c>
    </row>
    <row r="3">
      <c r="A3" s="7" t="inlineStr">
        <is>
          <t>Média</t>
        </is>
      </c>
      <c r="B3" s="7" t="n">
        <v>15</v>
      </c>
      <c r="C3" s="7" t="n">
        <v>10</v>
      </c>
    </row>
    <row r="4">
      <c r="A4" s="7" t="inlineStr">
        <is>
          <t>Difícil</t>
        </is>
      </c>
      <c r="B4" s="7" t="n">
        <v>20</v>
      </c>
      <c r="C4" s="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2026-09-28T20:12:20Z</dcterms:created>
  <dcterms:modified xsi:type="dcterms:W3CDTF">2026-09-28T20:12:20Z</dcterms:modified>
</cp:coreProperties>
</file>